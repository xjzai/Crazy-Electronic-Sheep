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767cfaa0d244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数" sheetId="1" r:id="R54b5316332514fd6"/>
    <x:sheet xmlns:r="http://schemas.openxmlformats.org/officeDocument/2006/relationships" name="100只羊数值表" sheetId="2" r:id="R1db9a88945b94487"/>
    <x:sheet xmlns:r="http://schemas.openxmlformats.org/officeDocument/2006/relationships" name="汇总" sheetId="3" r:id="R5fb41375f7ca46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E+00"/>
    <x:numFmt numFmtId="201" formatCode="#,##0"/>
    <x:numFmt numFmtId="202" formatCode="0.00"/>
    <x:numFmt numFmtId="203" formatCode="0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2" fillId="2" borderId="0" xfId="0" applyNumberFormat="1" applyFont="1" applyFill="1" applyBorder="1" applyAlignment="1">
      <x:alignment horizontal="center" vertical="center"/>
    </x:xf>
    <x:xf numFmtId="202" fontId="2" fillId="2" borderId="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ee2c2f5fb74352" /><Relationship Type="http://schemas.openxmlformats.org/officeDocument/2006/relationships/theme" Target="/xl/theme/theme1.xml" Id="R3b4eecc054d24bd6" /><Relationship Type="http://schemas.openxmlformats.org/officeDocument/2006/relationships/sharedStrings" Target="/xl/sharedStrings.xml" Id="R8ce380b60b144756" /><Relationship Type="http://schemas.openxmlformats.org/officeDocument/2006/relationships/worksheet" Target="/xl/worksheets/sheet1.xml" Id="R54b5316332514fd6" /><Relationship Type="http://schemas.openxmlformats.org/officeDocument/2006/relationships/worksheet" Target="/xl/worksheets/sheet2.xml" Id="R1db9a88945b94487" /><Relationship Type="http://schemas.openxmlformats.org/officeDocument/2006/relationships/worksheet" Target="/xl/worksheets/sheet3.xml" Id="R5fb41375f7ca46f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e49a567f6b2462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累计天数</c:v>
          </c:tx>
          <c:cat>
            <c:strRef>
              <c:f>'汇总'!$B$4:$B$8</c:f>
              <c:strCache>
                <c:ptCount val="0"/>
              </c:strCache>
            </c:strRef>
          </c:cat>
          <c:val>
            <c:numRef>
              <c:f>'汇总'!$H$4:$H$8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9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49a567f6b2462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heepNumbersV2" displayName="SheepNumbersV2" ref="A1:U101" headerRowCount="1">
  <x:tableColumns count="21">
    <x:tableColumn id="1" name="羊编号"/>
    <x:tableColumn id="2" name="羊名称"/>
    <x:tableColumn id="3" name="世界层"/>
    <x:tableColumn id="4" name="世界名称"/>
    <x:tableColumn id="5" name="本层序号"/>
    <x:tableColumn id="6" name="到上一级倍率"/>
    <x:tableColumn id="7" name="产出效率/秒"/>
    <x:tableColumn id="8" name="层级回本时间(秒)"/>
    <x:tableColumn id="9" name="基础购买价"/>
    <x:tableColumn id="10" name="第n次购买价公式"/>
    <x:tableColumn id="11" name="第n次购买价"/>
    <x:tableColumn id="12" name="推荐招聘机Lv"/>
    <x:tableColumn id="13" name="招聘偏移N"/>
    <x:tableColumn id="14" name="解锁起点羊ID"/>
    <x:tableColumn id="15" name="解锁起点羊名称"/>
    <x:tableColumn id="16" name="所需起点羊数量"/>
    <x:tableColumn id="17" name="估算购买总成本"/>
    <x:tableColumn id="18" name="估算可支配金币/秒"/>
    <x:tableColumn id="19" name="预计合成时间(小时)"/>
    <x:tableColumn id="20" name="预计累计解锁时间(天)"/>
    <x:tableColumn id="21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WorldSummaryV2" displayName="WorldSummaryV2" ref="A3:H8" headerRowCount="1">
  <x:tableColumns count="8">
    <x:tableColumn id="1" name="世界层"/>
    <x:tableColumn id="2" name="世界名称"/>
    <x:tableColumn id="3" name="羊编号范围"/>
    <x:tableColumn id="4" name="推荐招聘机Lv"/>
    <x:tableColumn id="5" name="偏移N"/>
    <x:tableColumn id="6" name="基础回本时间(秒)"/>
    <x:tableColumn id="7" name="预计完成累计天数"/>
    <x:tableColumn id="8" name="本层耗时(天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b92968c0f842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7849cf3561540d8" /><Relationship Type="http://schemas.openxmlformats.org/officeDocument/2006/relationships/table" Target="/xl/tables/table2.xml" Id="R92d5fa6e1fa64704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4" max="4" width="30" hidden="0" customWidth="1"/>
    <x:col min="5" max="5" width="30" hidden="0" customWidth="1"/>
    <x:col min="6" max="6" width="30" hidden="0" customWidth="1"/>
    <x:col min="8" max="8" width="30" hidden="0" customWidth="1"/>
    <x:col min="9" max="9" width="18" hidden="0" customWidth="1"/>
    <x:col min="10" max="10" width="12" hidden="0" customWidth="1"/>
    <x:col min="3" max="3" width="30" hidden="0" customWidth="1"/>
    <x:col min="7" max="7" width="16" hidden="0" customWidth="1"/>
  </x:cols>
  <x:sheetData>
    <x:row r="1">
      <x:c r="A1" s="2" t="str">
        <x:v>《电子羊会发疯》正式数值模型 v2 参数说明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3">
      <x:c r="A3" s="7" t="str">
        <x:v>参数</x:v>
      </x:c>
      <x:c r="B3" s="20" t="str">
        <x:v>取值</x:v>
      </x:c>
      <x:c r="D3" s="7" t="str">
        <x:v>世界层</x:v>
      </x:c>
      <x:c r="E3" s="7" t="str">
        <x:v>世界名称</x:v>
      </x:c>
      <x:c r="F3" s="7" t="str">
        <x:v>基础回本时间(秒)</x:v>
      </x:c>
      <x:c r="G3" s="7" t="str">
        <x:v>购买增长倍率</x:v>
      </x:c>
      <x:c r="H3" s="7" t="str">
        <x:v>世界层</x:v>
      </x:c>
      <x:c r="I3" s="7" t="str">
        <x:v>推荐黑心招聘机Lv</x:v>
      </x:c>
      <x:c r="J3" s="7" t="str">
        <x:v>推荐偏移N</x:v>
      </x:c>
    </x:row>
    <x:row r="4">
      <x:c r="A4" t="str">
        <x:v>净可支配金币效率系数</x:v>
      </x:c>
      <x:c r="B4" s="18" t="n">
        <x:v>0.08</x:v>
      </x:c>
      <x:c r="D4" t="n">
        <x:v>1</x:v>
      </x:c>
      <x:c r="E4" t="str">
        <x:v>电子牧场</x:v>
      </x:c>
      <x:c r="F4" s="22" t="n">
        <x:v>60</x:v>
      </x:c>
      <x:c r="G4" s="18" t="n">
        <x:v>1.06</x:v>
      </x:c>
      <x:c r="H4" t="n">
        <x:v>1</x:v>
      </x:c>
      <x:c r="I4" t="str">
        <x:v>Lv.0</x:v>
      </x:c>
      <x:c r="J4" t="n">
        <x:v>5</x:v>
      </x:c>
    </x:row>
    <x:row r="5">
      <x:c r="A5" t="str">
        <x:v>可调购买次数 n</x:v>
      </x:c>
      <x:c r="B5" s="18" t="n">
        <x:v>10</x:v>
      </x:c>
      <x:c r="D5" t="n">
        <x:v>2</x:v>
      </x:c>
      <x:c r="E5" t="str">
        <x:v>奇怪梦境层</x:v>
      </x:c>
      <x:c r="F5" s="22" t="n">
        <x:v>180</x:v>
      </x:c>
      <x:c r="G5" s="18" t="n">
        <x:v>1.11</x:v>
      </x:c>
      <x:c r="H5" t="n">
        <x:v>2</x:v>
      </x:c>
      <x:c r="I5" t="str">
        <x:v>Lv.1</x:v>
      </x:c>
      <x:c r="J5" t="n">
        <x:v>4</x:v>
      </x:c>
    </x:row>
    <x:row r="6">
      <x:c r="A6" t="str">
        <x:v>产出倍率：本层2-5号</x:v>
      </x:c>
      <x:c r="B6" s="18" t="n">
        <x:v>2</x:v>
      </x:c>
      <x:c r="D6" t="n">
        <x:v>3</x:v>
      </x:c>
      <x:c r="E6" t="str">
        <x:v>宇宙摸鱼层</x:v>
      </x:c>
      <x:c r="F6" s="22" t="n">
        <x:v>360</x:v>
      </x:c>
      <x:c r="G6" s="18" t="n">
        <x:v>1.19</x:v>
      </x:c>
      <x:c r="H6" t="n">
        <x:v>3</x:v>
      </x:c>
      <x:c r="I6" t="str">
        <x:v>Lv.2</x:v>
      </x:c>
      <x:c r="J6" t="n">
        <x:v>3</x:v>
      </x:c>
    </x:row>
    <x:row r="7">
      <x:c r="A7" t="str">
        <x:v>产出倍率：本层6-10号</x:v>
      </x:c>
      <x:c r="B7" s="18" t="n">
        <x:v>2.15</x:v>
      </x:c>
      <x:c r="D7" t="n">
        <x:v>4</x:v>
      </x:c>
      <x:c r="E7" t="str">
        <x:v>神明休息层</x:v>
      </x:c>
      <x:c r="F7" s="22" t="n">
        <x:v>720</x:v>
      </x:c>
      <x:c r="G7" s="18" t="n">
        <x:v>1.25</x:v>
      </x:c>
      <x:c r="H7" t="n">
        <x:v>4</x:v>
      </x:c>
      <x:c r="I7" t="str">
        <x:v>Lv.3</x:v>
      </x:c>
      <x:c r="J7" t="n">
        <x:v>2</x:v>
      </x:c>
    </x:row>
    <x:row r="8">
      <x:c r="A8" t="str">
        <x:v>产出倍率：本层11-15号</x:v>
      </x:c>
      <x:c r="B8" s="18" t="n">
        <x:v>2.3</x:v>
      </x:c>
      <x:c r="D8" t="n">
        <x:v>5</x:v>
      </x:c>
      <x:c r="E8" t="str">
        <x:v>终极咩咩宇宙</x:v>
      </x:c>
      <x:c r="F8" s="22" t="n">
        <x:v>1200</x:v>
      </x:c>
      <x:c r="G8" s="18" t="n">
        <x:v>1.19</x:v>
      </x:c>
      <x:c r="H8" t="n">
        <x:v>5</x:v>
      </x:c>
      <x:c r="I8" t="str">
        <x:v>Lv.4</x:v>
      </x:c>
      <x:c r="J8" t="n">
        <x:v>1</x:v>
      </x:c>
    </x:row>
    <x:row r="9">
      <x:c r="A9" t="str">
        <x:v>产出倍率：本层16-20号</x:v>
      </x:c>
      <x:c r="B9" s="18" t="n">
        <x:v>2.5</x:v>
      </x:c>
    </x:row>
    <x:row r="10">
      <x:c r="A10" t="str">
        <x:v>跨世界第1只倍率</x:v>
      </x:c>
      <x:c r="B10" s="18" t="n">
        <x:v>3</x:v>
      </x:c>
    </x:row>
    <x:row r="11">
      <x:c r="A11" t="str">
        <x:v>目标：看广告玩家解锁100</x:v>
      </x:c>
      <x:c r="B11" s="18" t="str">
        <x:v>约30天</x:v>
      </x:c>
    </x:row>
    <x:row r="12">
      <x:c r="A12" t="str">
        <x:v>说明</x:v>
      </x:c>
      <x:c r="B12" t="str">
        <x:v>购买增长倍率已改为按世界层分别设置，见右侧表。</x:v>
      </x:c>
    </x:row>
    <x:row r="14">
      <x:c r="A14" s="24" t="str">
        <x:v>模型说明</x:v>
      </x:c>
      <x:c r="B14" s="24" t="str"/>
      <x:c r="C14" s="24"/>
      <x:c r="D14" s="24"/>
      <x:c r="E14" s="24"/>
      <x:c r="F14" s="24"/>
      <x:c r="G14" s="24"/>
      <x:c r="H14" s="24"/>
    </x:row>
    <x:row r="15">
      <x:c r="A15" s="24" t="str">
        <x:v>1. 产出/秒</x:v>
      </x:c>
      <x:c r="B15" s="24" t="str">
        <x:v>001号羊为1，层内按倍率递增；每进入新世界，第1只羊=上一世界最终羊×3。</x:v>
      </x:c>
      <x:c r="C15" s="24"/>
      <x:c r="D15" s="24"/>
      <x:c r="E15" s="24"/>
      <x:c r="F15" s="24"/>
      <x:c r="G15" s="24"/>
      <x:c r="H15" s="24"/>
    </x:row>
    <x:row r="16">
      <x:c r="A16" s="24" t="str">
        <x:v>2. 基础购买价</x:v>
      </x:c>
      <x:c r="B16" s="24" t="str">
        <x:v>基础购买价 = 该羊产出/秒 × 当前世界基础回本时间。</x:v>
      </x:c>
      <x:c r="C16" s="24"/>
      <x:c r="D16" s="24"/>
      <x:c r="E16" s="24"/>
      <x:c r="F16" s="24"/>
      <x:c r="G16" s="24"/>
      <x:c r="H16" s="24"/>
    </x:row>
    <x:row r="17">
      <x:c r="A17" s="24" t="str">
        <x:v>3. 第n次购买价</x:v>
      </x:c>
      <x:c r="B17" s="24" t="str">
        <x:v>第n次购买价 = 基础购买价 × 所属世界购买增长倍率^(n-1)，n可在B5调整。</x:v>
      </x:c>
      <x:c r="C17" s="24"/>
      <x:c r="D17" s="24"/>
      <x:c r="E17" s="24"/>
      <x:c r="F17" s="24"/>
      <x:c r="G17" s="24"/>
      <x:c r="H17" s="24"/>
    </x:row>
    <x:row r="18">
      <x:c r="A18" s="24" t="str">
        <x:v>4. 招聘偏移</x:v>
      </x:c>
      <x:c r="B18" s="24" t="str">
        <x:v>可购买羊 = max(当前世界起始羊, 当前最高图鉴羊 - N)。N随黑心招聘机从5升级到1。</x:v>
      </x:c>
      <x:c r="C18" s="24"/>
      <x:c r="D18" s="24"/>
      <x:c r="E18" s="24"/>
      <x:c r="F18" s="24"/>
      <x:c r="G18" s="24"/>
      <x:c r="H18" s="24"/>
    </x:row>
    <x:row r="19">
      <x:c r="A19" s="24" t="str">
        <x:v>5. 合成起点</x:v>
      </x:c>
      <x:c r="B19" s="24" t="str">
        <x:v>解锁某只羊时，默认从当前可购买的最高起点羊开始购买并合成。跨层时使用上一层规则。</x:v>
      </x:c>
      <x:c r="C19" s="24"/>
      <x:c r="D19" s="24"/>
      <x:c r="E19" s="24"/>
      <x:c r="F19" s="24"/>
      <x:c r="G19" s="24"/>
      <x:c r="H19" s="24"/>
    </x:row>
    <x:row r="20">
      <x:c r="A20" s="24" t="str">
        <x:v>6. 所需数量</x:v>
      </x:c>
      <x:c r="B20" s="24" t="str">
        <x:v>所需起点羊数量 = 2^(目标羊ID - 起点羊ID)。</x:v>
      </x:c>
      <x:c r="C20" s="24"/>
      <x:c r="D20" s="24"/>
      <x:c r="E20" s="24"/>
      <x:c r="F20" s="24"/>
      <x:c r="G20" s="24"/>
      <x:c r="H20" s="24"/>
    </x:row>
    <x:row r="21">
      <x:c r="A21" s="24" t="str">
        <x:v>7. 合成成本</x:v>
      </x:c>
      <x:c r="B21" s="24" t="str">
        <x:v>按起点羊从第1次购买开始估算：起点基础价 × (增长倍率^数量 - 1)/(增长倍率 - 1)。</x:v>
      </x:c>
      <x:c r="C21" s="24"/>
      <x:c r="D21" s="24"/>
      <x:c r="E21" s="24"/>
      <x:c r="F21" s="24"/>
      <x:c r="G21" s="24"/>
      <x:c r="H21" s="24"/>
    </x:row>
    <x:row r="22">
      <x:c r="A22" s="24" t="str">
        <x:v>8. 预计时间</x:v>
      </x:c>
      <x:c r="B22" s="24" t="str">
        <x:v>预计合成时间 = 合成成本 ÷ 净可支配金币/秒。净可支配金币/秒 = 上一只羊产出/秒 × 0.08。</x:v>
      </x:c>
      <x:c r="C22" s="24"/>
      <x:c r="D22" s="24"/>
      <x:c r="E22" s="24"/>
      <x:c r="F22" s="24"/>
      <x:c r="G22" s="24"/>
      <x:c r="H22" s="24"/>
    </x:row>
    <x:row r="23">
      <x:c r="A23" s="24" t="str">
        <x:v>9. 重要说明</x:v>
      </x:c>
      <x:c r="B23" s="24" t="str">
        <x:v>v2已采用分世界购买增长倍率，使第一层更快，后期逐渐变慢，整体约29-30天。</x:v>
      </x:c>
      <x:c r="C23" s="24"/>
      <x:c r="D23" s="24"/>
      <x:c r="E23" s="24"/>
      <x:c r="F23" s="24"/>
      <x:c r="G23" s="24"/>
      <x:c r="H23" s="24"/>
    </x:row>
    <x:row r="24">
      <x:c r="A24" s="24" t="str">
        <x:v>10. 不看广告玩家</x:v>
      </x:c>
      <x:c r="B24" s="24" t="str">
        <x:v>可将B4从0.08调低至0.04-0.05，预计会接近45-60天。</x:v>
      </x:c>
      <x:c r="C24" s="24"/>
      <x:c r="D24" s="24"/>
      <x:c r="E24" s="24"/>
      <x:c r="F24" s="24"/>
      <x:c r="G24" s="24"/>
      <x:c r="H24" s="24"/>
    </x:row>
    <x:row r="25">
      <x:c r="A25" s="24" t="str">
        <x:v>11. 重度广告玩家</x:v>
      </x:c>
      <x:c r="B25" s="24" t="str">
        <x:v>可将B4提高到0.10-0.12，预计会快于30天。</x:v>
      </x:c>
      <x:c r="C25" s="24"/>
      <x:c r="D25" s="24"/>
      <x:c r="E25" s="24"/>
      <x:c r="F25" s="24"/>
      <x:c r="G25" s="24"/>
      <x:c r="H25" s="24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8" hidden="0" customWidth="1"/>
    <x:col min="4" max="4" width="16" hidden="0" customWidth="1"/>
    <x:col min="5" max="5" width="10" hidden="0" customWidth="1"/>
    <x:col min="6" max="6" width="12" hidden="0" customWidth="1"/>
    <x:col min="7" max="7" width="14" hidden="0" customWidth="1"/>
    <x:col min="8" max="8" width="16" hidden="0" customWidth="1"/>
    <x:col min="9" max="9" width="14" hidden="0" customWidth="1"/>
    <x:col min="10" max="10" width="34" hidden="0" customWidth="1"/>
    <x:col min="11" max="11" width="14" hidden="0" customWidth="1"/>
    <x:col min="12" max="12" width="14" hidden="0" customWidth="1"/>
    <x:col min="13" max="13" width="10" hidden="0" customWidth="1"/>
    <x:col min="14" max="14" width="14" hidden="0" customWidth="1"/>
    <x:col min="15" max="15" width="16" hidden="0" customWidth="1"/>
    <x:col min="16" max="16" width="16" hidden="0" customWidth="1"/>
    <x:col min="17" max="17" width="16" hidden="0" customWidth="1"/>
    <x:col min="18" max="18" width="18" hidden="0" customWidth="1"/>
    <x:col min="19" max="19" width="16" hidden="0" customWidth="1"/>
    <x:col min="20" max="20" width="18" hidden="0" customWidth="1"/>
    <x:col min="21" max="21" width="28" hidden="0" customWidth="1"/>
  </x:cols>
  <x:sheetData>
    <x:row r="1">
      <x:c r="A1" s="7" t="str">
        <x:v>羊编号</x:v>
      </x:c>
      <x:c r="B1" s="7" t="str">
        <x:v>羊名称</x:v>
      </x:c>
      <x:c r="C1" s="7" t="str">
        <x:v>世界层</x:v>
      </x:c>
      <x:c r="D1" s="7" t="str">
        <x:v>世界名称</x:v>
      </x:c>
      <x:c r="E1" s="7" t="str">
        <x:v>本层序号</x:v>
      </x:c>
      <x:c r="F1" s="7" t="str">
        <x:v>到上一级倍率</x:v>
      </x:c>
      <x:c r="G1" s="7" t="str">
        <x:v>产出效率/秒</x:v>
      </x:c>
      <x:c r="H1" s="7" t="str">
        <x:v>层级回本时间(秒)</x:v>
      </x:c>
      <x:c r="I1" s="7" t="str">
        <x:v>基础购买价</x:v>
      </x:c>
      <x:c r="J1" s="7" t="str">
        <x:v>第n次购买价公式</x:v>
      </x:c>
      <x:c r="K1" s="7" t="str">
        <x:v>第n次购买价</x:v>
      </x:c>
      <x:c r="L1" s="7" t="str">
        <x:v>推荐招聘机Lv</x:v>
      </x:c>
      <x:c r="M1" s="7" t="str">
        <x:v>招聘偏移N</x:v>
      </x:c>
      <x:c r="N1" s="7" t="str">
        <x:v>解锁起点羊ID</x:v>
      </x:c>
      <x:c r="O1" s="7" t="str">
        <x:v>解锁起点羊名称</x:v>
      </x:c>
      <x:c r="P1" s="7" t="str">
        <x:v>所需起点羊数量</x:v>
      </x:c>
      <x:c r="Q1" s="7" t="str">
        <x:v>估算购买总成本</x:v>
      </x:c>
      <x:c r="R1" s="7" t="str">
        <x:v>估算可支配金币/秒</x:v>
      </x:c>
      <x:c r="S1" s="7" t="str">
        <x:v>预计合成时间(小时)</x:v>
      </x:c>
      <x:c r="T1" s="7" t="str">
        <x:v>预计累计解锁时间(天)</x:v>
      </x:c>
      <x:c r="U1" s="7" t="str">
        <x:v>备注</x:v>
      </x:c>
    </x:row>
    <x:row r="2">
      <x:c r="A2" t="n">
        <x:v>1</x:v>
      </x:c>
      <x:c r="B2" t="str">
        <x:v>实习羊</x:v>
      </x:c>
      <x:c r="C2" t="n">
        <x:f>ROUNDUP(A2/20,0)</x:f>
        <x:v>1</x:v>
      </x:c>
      <x:c r="D2" t="str">
        <x:f>INDEX('参数'!$E$4:$E$8,MATCH(C2,'参数'!$D$4:$D$8,0))</x:f>
        <x:v>电子牧场</x:v>
      </x:c>
      <x:c r="E2" t="n">
        <x:f>MOD(A2-1,20)+1</x:f>
        <x:v>1</x:v>
      </x:c>
      <x:c r="F2" t="str">
        <x:f>IF(A2=1,"-",IF(E2=1,'参数'!$B$10,IF(E2&lt;=5,'参数'!$B$6,IF(E2&lt;=10,'参数'!$B$7,IF(E2&lt;=15,'参数'!$B$8,'参数'!$B$9)))) )</x:f>
        <x:v>-</x:v>
      </x:c>
      <x:c r="G2" s="14" t="n">
        <x:f>IF(A2=1,1,IF(E2=1,G1*'参数'!$B$10,G1*F2))</x:f>
        <x:v>1</x:v>
      </x:c>
      <x:c r="H2" s="14" t="n">
        <x:f>INDEX('参数'!$F$4:$F$8,MATCH(C2,'参数'!$D$4:$D$8,0))</x:f>
        <x:v>60</x:v>
      </x:c>
      <x:c r="I2" s="14" t="n">
        <x:f>G2*H2</x:f>
        <x:v>60</x:v>
      </x:c>
      <x:c r="J2" s="14" t="str">
        <x:f>"第n次 = 基础购买价 × 所属世界增长倍率^(n-1)"</x:f>
        <x:v>第n次 = 基础购买价 × 所属世界增长倍率^(n-1)</x:v>
      </x:c>
      <x:c r="K2" s="14" t="n">
        <x:f>I2*INDEX('参数'!$G$4:$G$8,MATCH(C2,'参数'!$D$4:$D$8,0))^('参数'!$B$5-1)</x:f>
        <x:v>101.36873754016158</x:v>
      </x:c>
      <x:c r="L2" t="str">
        <x:f>INDEX('参数'!$I$4:$I$8,MATCH(C2,'参数'!$H$4:$H$8,0))</x:f>
        <x:v>Lv.0</x:v>
      </x:c>
      <x:c r="M2" t="n">
        <x:f>INDEX('参数'!$J$4:$J$8,MATCH(C2,'参数'!$H$4:$H$8,0))</x:f>
        <x:v>5</x:v>
      </x:c>
      <x:c r="N2" t="str">
        <x:f>IF(A2=1,"-",IF(AND(E2=1,C2&gt;1),MAX((C2-2)*20+1,A2-1-INDEX('参数'!$J$4:$J$8,MATCH(C2-1,'参数'!$H$4:$H$8,0))),MAX((C2-1)*20+1,A2-1-M2)))</x:f>
        <x:v>-</x:v>
      </x:c>
      <x:c r="O2" t="str">
        <x:f>IF(A2=1,"-",INDEX($B$2:$B$101,MATCH(N2,$A$2:$A$101,0)))</x:f>
        <x:v>-</x:v>
      </x:c>
      <x:c r="P2" s="16" t="n">
        <x:f>IF(A2=1,0,POWER(2,A2-N2))</x:f>
        <x:v>0</x:v>
      </x:c>
      <x:c r="Q2" s="14" t="n">
        <x:f>IF(A2=1,0,INDEX($I$2:$I$101,MATCH(N2,$A$2:$A$101,0))*(POWER(INDEX('参数'!$G$4:$G$8,MATCH(INDEX($C$2:$C$101,MATCH(N2,$A$2:$A$101,0)),'参数'!$D$4:$D$8,0)),P2)-1)/(INDEX('参数'!$G$4:$G$8,MATCH(INDEX($C$2:$C$101,MATCH(N2,$A$2:$A$101,0)),'参数'!$D$4:$D$8,0))-1))</x:f>
        <x:v>0</x:v>
      </x:c>
      <x:c r="R2" s="14" t="n">
        <x:f>IF(A2=1,0,G1*'参数'!$B$4)</x:f>
        <x:v>0</x:v>
      </x:c>
      <x:c r="S2" s="18" t="n">
        <x:f>IF(A2=1,0,Q2/R2/3600)</x:f>
        <x:v>0</x:v>
      </x:c>
      <x:c r="T2" s="18" t="n">
        <x:f>IF(A2=1,0,SUM($S$2:S2)/24)</x:f>
        <x:v>0</x:v>
      </x:c>
      <x:c r="U2" t="str">
        <x:f>IF(A2=1,"初始羊",IF(AND(E2=1,C2&gt;1),"跨层解锁：需要上一层最终羊×2",IF(P2&gt;=32,"阶段门槛：建议配合广告/随机羊","常规解锁")))</x:f>
        <x:v>初始羊</x:v>
      </x:c>
    </x:row>
    <x:row r="3">
      <x:c r="A3" t="n">
        <x:v>2</x:v>
      </x:c>
      <x:c r="B3" t="str">
        <x:v>困困羊</x:v>
      </x:c>
      <x:c r="C3" t="n">
        <x:f>ROUNDUP(A3/20,0)</x:f>
        <x:v>1</x:v>
      </x:c>
      <x:c r="D3" t="str">
        <x:f>INDEX('参数'!$E$4:$E$8,MATCH(C3,'参数'!$D$4:$D$8,0))</x:f>
        <x:v>电子牧场</x:v>
      </x:c>
      <x:c r="E3" t="n">
        <x:f>MOD(A3-1,20)+1</x:f>
        <x:v>2</x:v>
      </x:c>
      <x:c r="F3" t="n">
        <x:f>IF(A3=1,"-",IF(E3=1,'参数'!$B$10,IF(E3&lt;=5,'参数'!$B$6,IF(E3&lt;=10,'参数'!$B$7,IF(E3&lt;=15,'参数'!$B$8,'参数'!$B$9)))) )</x:f>
        <x:v>2</x:v>
      </x:c>
      <x:c r="G3" s="14" t="n">
        <x:f>IF(A3=1,1,IF(E3=1,G2*'参数'!$B$10,G2*F3))</x:f>
        <x:v>2</x:v>
      </x:c>
      <x:c r="H3" s="14" t="n">
        <x:f>INDEX('参数'!$F$4:$F$8,MATCH(C3,'参数'!$D$4:$D$8,0))</x:f>
        <x:v>60</x:v>
      </x:c>
      <x:c r="I3" s="14" t="n">
        <x:f>G3*H3</x:f>
        <x:v>120</x:v>
      </x:c>
      <x:c r="J3" s="14" t="str">
        <x:f>"第n次 = 基础购买价 × 所属世界增长倍率^(n-1)"</x:f>
        <x:v>第n次 = 基础购买价 × 所属世界增长倍率^(n-1)</x:v>
      </x:c>
      <x:c r="K3" s="14" t="n">
        <x:f>I3*INDEX('参数'!$G$4:$G$8,MATCH(C3,'参数'!$D$4:$D$8,0))^('参数'!$B$5-1)</x:f>
        <x:v>202.73747508032315</x:v>
      </x:c>
      <x:c r="L3" t="str">
        <x:f>INDEX('参数'!$I$4:$I$8,MATCH(C3,'参数'!$H$4:$H$8,0))</x:f>
        <x:v>Lv.0</x:v>
      </x:c>
      <x:c r="M3" t="n">
        <x:f>INDEX('参数'!$J$4:$J$8,MATCH(C3,'参数'!$H$4:$H$8,0))</x:f>
        <x:v>5</x:v>
      </x:c>
      <x:c r="N3" t="n">
        <x:f>IF(A3=1,"-",IF(AND(E3=1,C3&gt;1),MAX((C3-2)*20+1,A3-1-INDEX('参数'!$J$4:$J$8,MATCH(C3-1,'参数'!$H$4:$H$8,0))),MAX((C3-1)*20+1,A3-1-M3)))</x:f>
        <x:v>1</x:v>
      </x:c>
      <x:c r="O3" t="str">
        <x:f>IF(A3=1,"-",INDEX($B$2:$B$101,MATCH(N3,$A$2:$A$101,0)))</x:f>
        <x:v>实习羊</x:v>
      </x:c>
      <x:c r="P3" s="16" t="n">
        <x:f>IF(A3=1,0,POWER(2,A3-N3))</x:f>
        <x:v>2</x:v>
      </x:c>
      <x:c r="Q3" s="14" t="n">
        <x:f>IF(A3=1,0,INDEX($I$2:$I$101,MATCH(N3,$A$2:$A$101,0))*(POWER(INDEX('参数'!$G$4:$G$8,MATCH(INDEX($C$2:$C$101,MATCH(N3,$A$2:$A$101,0)),'参数'!$D$4:$D$8,0)),P3)-1)/(INDEX('参数'!$G$4:$G$8,MATCH(INDEX($C$2:$C$101,MATCH(N3,$A$2:$A$101,0)),'参数'!$D$4:$D$8,0))-1))</x:f>
        <x:v>123.60000000000005</x:v>
      </x:c>
      <x:c r="R3" s="14" t="n">
        <x:f>IF(A3=1,0,G2*'参数'!$B$4)</x:f>
        <x:v>0.08</x:v>
      </x:c>
      <x:c r="S3" s="18" t="n">
        <x:f>IF(A3=1,0,Q3/R3/3600)</x:f>
        <x:v>0.42916666666666686</x:v>
      </x:c>
      <x:c r="T3" s="18" t="n">
        <x:f>IF(A3=1,0,SUM($S$2:S3)/24)</x:f>
        <x:v>0.017881944444444454</x:v>
      </x:c>
      <x:c r="U3" t="str">
        <x:f>IF(A3=1,"初始羊",IF(AND(E3=1,C3&gt;1),"跨层解锁：需要上一层最终羊×2",IF(P3&gt;=32,"阶段门槛：建议配合广告/随机羊","常规解锁")))</x:f>
        <x:v>常规解锁</x:v>
      </x:c>
    </x:row>
    <x:row r="4">
      <x:c r="A4" t="n">
        <x:v>3</x:v>
      </x:c>
      <x:c r="B4" t="str">
        <x:v>咖啡羊</x:v>
      </x:c>
      <x:c r="C4" t="n">
        <x:f>ROUNDUP(A4/20,0)</x:f>
        <x:v>1</x:v>
      </x:c>
      <x:c r="D4" t="str">
        <x:f>INDEX('参数'!$E$4:$E$8,MATCH(C4,'参数'!$D$4:$D$8,0))</x:f>
        <x:v>电子牧场</x:v>
      </x:c>
      <x:c r="E4" t="n">
        <x:f>MOD(A4-1,20)+1</x:f>
        <x:v>3</x:v>
      </x:c>
      <x:c r="F4" t="n">
        <x:f>IF(A4=1,"-",IF(E4=1,'参数'!$B$10,IF(E4&lt;=5,'参数'!$B$6,IF(E4&lt;=10,'参数'!$B$7,IF(E4&lt;=15,'参数'!$B$8,'参数'!$B$9)))) )</x:f>
        <x:v>2</x:v>
      </x:c>
      <x:c r="G4" s="14" t="n">
        <x:f>IF(A4=1,1,IF(E4=1,G3*'参数'!$B$10,G3*F4))</x:f>
        <x:v>4</x:v>
      </x:c>
      <x:c r="H4" s="14" t="n">
        <x:f>INDEX('参数'!$F$4:$F$8,MATCH(C4,'参数'!$D$4:$D$8,0))</x:f>
        <x:v>60</x:v>
      </x:c>
      <x:c r="I4" s="14" t="n">
        <x:f>G4*H4</x:f>
        <x:v>240</x:v>
      </x:c>
      <x:c r="J4" s="14" t="str">
        <x:f>"第n次 = 基础购买价 × 所属世界增长倍率^(n-1)"</x:f>
        <x:v>第n次 = 基础购买价 × 所属世界增长倍率^(n-1)</x:v>
      </x:c>
      <x:c r="K4" s="14" t="n">
        <x:f>I4*INDEX('参数'!$G$4:$G$8,MATCH(C4,'参数'!$D$4:$D$8,0))^('参数'!$B$5-1)</x:f>
        <x:v>405.4749501606463</x:v>
      </x:c>
      <x:c r="L4" t="str">
        <x:f>INDEX('参数'!$I$4:$I$8,MATCH(C4,'参数'!$H$4:$H$8,0))</x:f>
        <x:v>Lv.0</x:v>
      </x:c>
      <x:c r="M4" t="n">
        <x:f>INDEX('参数'!$J$4:$J$8,MATCH(C4,'参数'!$H$4:$H$8,0))</x:f>
        <x:v>5</x:v>
      </x:c>
      <x:c r="N4" t="n">
        <x:f>IF(A4=1,"-",IF(AND(E4=1,C4&gt;1),MAX((C4-2)*20+1,A4-1-INDEX('参数'!$J$4:$J$8,MATCH(C4-1,'参数'!$H$4:$H$8,0))),MAX((C4-1)*20+1,A4-1-M4)))</x:f>
        <x:v>1</x:v>
      </x:c>
      <x:c r="O4" t="str">
        <x:f>IF(A4=1,"-",INDEX($B$2:$B$101,MATCH(N4,$A$2:$A$101,0)))</x:f>
        <x:v>实习羊</x:v>
      </x:c>
      <x:c r="P4" s="16" t="n">
        <x:f>IF(A4=1,0,POWER(2,A4-N4))</x:f>
        <x:v>4</x:v>
      </x:c>
      <x:c r="Q4" s="14" t="n">
        <x:f>IF(A4=1,0,INDEX($I$2:$I$101,MATCH(N4,$A$2:$A$101,0))*(POWER(INDEX('参数'!$G$4:$G$8,MATCH(INDEX($C$2:$C$101,MATCH(N4,$A$2:$A$101,0)),'参数'!$D$4:$D$8,0)),P4)-1)/(INDEX('参数'!$G$4:$G$8,MATCH(INDEX($C$2:$C$101,MATCH(N4,$A$2:$A$101,0)),'参数'!$D$4:$D$8,0))-1))</x:f>
        <x:v>262.4769600000001</x:v>
      </x:c>
      <x:c r="R4" s="14" t="n">
        <x:f>IF(A4=1,0,G3*'参数'!$B$4)</x:f>
        <x:v>0.16</x:v>
      </x:c>
      <x:c r="S4" s="18" t="n">
        <x:f>IF(A4=1,0,Q4/R4/3600)</x:f>
        <x:v>0.4556891666666668</x:v>
      </x:c>
      <x:c r="T4" s="18" t="n">
        <x:f>IF(A4=1,0,SUM($S$2:S4)/24)</x:f>
        <x:v>0.03686899305555557</x:v>
      </x:c>
      <x:c r="U4" t="str">
        <x:f>IF(A4=1,"初始羊",IF(AND(E4=1,C4&gt;1),"跨层解锁：需要上一层最终羊×2",IF(P4&gt;=32,"阶段门槛：建议配合广告/随机羊","常规解锁")))</x:f>
        <x:v>常规解锁</x:v>
      </x:c>
    </x:row>
    <x:row r="5">
      <x:c r="A5" t="n">
        <x:v>4</x:v>
      </x:c>
      <x:c r="B5" t="str">
        <x:v>摸鱼羊</x:v>
      </x:c>
      <x:c r="C5" t="n">
        <x:f>ROUNDUP(A5/20,0)</x:f>
        <x:v>1</x:v>
      </x:c>
      <x:c r="D5" t="str">
        <x:f>INDEX('参数'!$E$4:$E$8,MATCH(C5,'参数'!$D$4:$D$8,0))</x:f>
        <x:v>电子牧场</x:v>
      </x:c>
      <x:c r="E5" t="n">
        <x:f>MOD(A5-1,20)+1</x:f>
        <x:v>4</x:v>
      </x:c>
      <x:c r="F5" t="n">
        <x:f>IF(A5=1,"-",IF(E5=1,'参数'!$B$10,IF(E5&lt;=5,'参数'!$B$6,IF(E5&lt;=10,'参数'!$B$7,IF(E5&lt;=15,'参数'!$B$8,'参数'!$B$9)))) )</x:f>
        <x:v>2</x:v>
      </x:c>
      <x:c r="G5" s="14" t="n">
        <x:f>IF(A5=1,1,IF(E5=1,G4*'参数'!$B$10,G4*F5))</x:f>
        <x:v>8</x:v>
      </x:c>
      <x:c r="H5" s="14" t="n">
        <x:f>INDEX('参数'!$F$4:$F$8,MATCH(C5,'参数'!$D$4:$D$8,0))</x:f>
        <x:v>60</x:v>
      </x:c>
      <x:c r="I5" s="14" t="n">
        <x:f>G5*H5</x:f>
        <x:v>480</x:v>
      </x:c>
      <x:c r="J5" s="14" t="str">
        <x:f>"第n次 = 基础购买价 × 所属世界增长倍率^(n-1)"</x:f>
        <x:v>第n次 = 基础购买价 × 所属世界增长倍率^(n-1)</x:v>
      </x:c>
      <x:c r="K5" s="14" t="n">
        <x:f>I5*INDEX('参数'!$G$4:$G$8,MATCH(C5,'参数'!$D$4:$D$8,0))^('参数'!$B$5-1)</x:f>
        <x:v>810.9499003212926</x:v>
      </x:c>
      <x:c r="L5" t="str">
        <x:f>INDEX('参数'!$I$4:$I$8,MATCH(C5,'参数'!$H$4:$H$8,0))</x:f>
        <x:v>Lv.0</x:v>
      </x:c>
      <x:c r="M5" t="n">
        <x:f>INDEX('参数'!$J$4:$J$8,MATCH(C5,'参数'!$H$4:$H$8,0))</x:f>
        <x:v>5</x:v>
      </x:c>
      <x:c r="N5" t="n">
        <x:f>IF(A5=1,"-",IF(AND(E5=1,C5&gt;1),MAX((C5-2)*20+1,A5-1-INDEX('参数'!$J$4:$J$8,MATCH(C5-1,'参数'!$H$4:$H$8,0))),MAX((C5-1)*20+1,A5-1-M5)))</x:f>
        <x:v>1</x:v>
      </x:c>
      <x:c r="O5" t="str">
        <x:f>IF(A5=1,"-",INDEX($B$2:$B$101,MATCH(N5,$A$2:$A$101,0)))</x:f>
        <x:v>实习羊</x:v>
      </x:c>
      <x:c r="P5" s="16" t="n">
        <x:f>IF(A5=1,0,POWER(2,A5-N5))</x:f>
        <x:v>8</x:v>
      </x:c>
      <x:c r="Q5" s="14" t="n">
        <x:f>IF(A5=1,0,INDEX($I$2:$I$101,MATCH(N5,$A$2:$A$101,0))*(POWER(INDEX('参数'!$G$4:$G$8,MATCH(INDEX($C$2:$C$101,MATCH(N5,$A$2:$A$101,0)),'参数'!$D$4:$D$8,0)),P5)-1)/(INDEX('参数'!$G$4:$G$8,MATCH(INDEX($C$2:$C$101,MATCH(N5,$A$2:$A$101,0)),'参数'!$D$4:$D$8,0))-1))</x:f>
        <x:v>593.8480745308417</x:v>
      </x:c>
      <x:c r="R5" s="14" t="n">
        <x:f>IF(A5=1,0,G4*'参数'!$B$4)</x:f>
        <x:v>0.32</x:v>
      </x:c>
      <x:c r="S5" s="18" t="n">
        <x:f>IF(A5=1,0,Q5/R5/3600)</x:f>
        <x:v>0.5154931202524667</x:v>
      </x:c>
      <x:c r="T5" s="18" t="n">
        <x:f>IF(A5=1,0,SUM($S$2:S5)/24)</x:f>
        <x:v>0.05834787306607501</x:v>
      </x:c>
      <x:c r="U5" t="str">
        <x:f>IF(A5=1,"初始羊",IF(AND(E5=1,C5&gt;1),"跨层解锁：需要上一层最终羊×2",IF(P5&gt;=32,"阶段门槛：建议配合广告/随机羊","常规解锁")))</x:f>
        <x:v>常规解锁</x:v>
      </x:c>
    </x:row>
    <x:row r="6">
      <x:c r="A6" t="n">
        <x:v>5</x:v>
      </x:c>
      <x:c r="B6" t="str">
        <x:v>加班羊</x:v>
      </x:c>
      <x:c r="C6" t="n">
        <x:f>ROUNDUP(A6/20,0)</x:f>
        <x:v>1</x:v>
      </x:c>
      <x:c r="D6" t="str">
        <x:f>INDEX('参数'!$E$4:$E$8,MATCH(C6,'参数'!$D$4:$D$8,0))</x:f>
        <x:v>电子牧场</x:v>
      </x:c>
      <x:c r="E6" t="n">
        <x:f>MOD(A6-1,20)+1</x:f>
        <x:v>5</x:v>
      </x:c>
      <x:c r="F6" t="n">
        <x:f>IF(A6=1,"-",IF(E6=1,'参数'!$B$10,IF(E6&lt;=5,'参数'!$B$6,IF(E6&lt;=10,'参数'!$B$7,IF(E6&lt;=15,'参数'!$B$8,'参数'!$B$9)))) )</x:f>
        <x:v>2</x:v>
      </x:c>
      <x:c r="G6" s="14" t="n">
        <x:f>IF(A6=1,1,IF(E6=1,G5*'参数'!$B$10,G5*F6))</x:f>
        <x:v>16</x:v>
      </x:c>
      <x:c r="H6" s="14" t="n">
        <x:f>INDEX('参数'!$F$4:$F$8,MATCH(C6,'参数'!$D$4:$D$8,0))</x:f>
        <x:v>60</x:v>
      </x:c>
      <x:c r="I6" s="14" t="n">
        <x:f>G6*H6</x:f>
        <x:v>960</x:v>
      </x:c>
      <x:c r="J6" s="14" t="str">
        <x:f>"第n次 = 基础购买价 × 所属世界增长倍率^(n-1)"</x:f>
        <x:v>第n次 = 基础购买价 × 所属世界增长倍率^(n-1)</x:v>
      </x:c>
      <x:c r="K6" s="14" t="n">
        <x:f>I6*INDEX('参数'!$G$4:$G$8,MATCH(C6,'参数'!$D$4:$D$8,0))^('参数'!$B$5-1)</x:f>
        <x:v>1621.8998006425852</x:v>
      </x:c>
      <x:c r="L6" t="str">
        <x:f>INDEX('参数'!$I$4:$I$8,MATCH(C6,'参数'!$H$4:$H$8,0))</x:f>
        <x:v>Lv.0</x:v>
      </x:c>
      <x:c r="M6" t="n">
        <x:f>INDEX('参数'!$J$4:$J$8,MATCH(C6,'参数'!$H$4:$H$8,0))</x:f>
        <x:v>5</x:v>
      </x:c>
      <x:c r="N6" t="n">
        <x:f>IF(A6=1,"-",IF(AND(E6=1,C6&gt;1),MAX((C6-2)*20+1,A6-1-INDEX('参数'!$J$4:$J$8,MATCH(C6-1,'参数'!$H$4:$H$8,0))),MAX((C6-1)*20+1,A6-1-M6)))</x:f>
        <x:v>1</x:v>
      </x:c>
      <x:c r="O6" t="str">
        <x:f>IF(A6=1,"-",INDEX($B$2:$B$101,MATCH(N6,$A$2:$A$101,0)))</x:f>
        <x:v>实习羊</x:v>
      </x:c>
      <x:c r="P6" s="16" t="n">
        <x:f>IF(A6=1,0,POWER(2,A6-N6))</x:f>
        <x:v>16</x:v>
      </x:c>
      <x:c r="Q6" s="14" t="n">
        <x:f>IF(A6=1,0,INDEX($I$2:$I$101,MATCH(N6,$A$2:$A$101,0))*(POWER(INDEX('参数'!$G$4:$G$8,MATCH(INDEX($C$2:$C$101,MATCH(N6,$A$2:$A$101,0)),'参数'!$D$4:$D$8,0)),P6)-1)/(INDEX('参数'!$G$4:$G$8,MATCH(INDEX($C$2:$C$101,MATCH(N6,$A$2:$A$101,0)),'参数'!$D$4:$D$8,0))-1))</x:f>
        <x:v>1540.351684685672</x:v>
      </x:c>
      <x:c r="R6" s="14" t="n">
        <x:f>IF(A6=1,0,G5*'参数'!$B$4)</x:f>
        <x:v>0.64</x:v>
      </x:c>
      <x:c r="S6" s="18" t="n">
        <x:f>IF(A6=1,0,Q6/R6/3600)</x:f>
        <x:v>0.6685554187003785</x:v>
      </x:c>
      <x:c r="T6" s="18" t="n">
        <x:f>IF(A6=1,0,SUM($S$2:S6)/24)</x:f>
        <x:v>0.08620434884525745</x:v>
      </x:c>
      <x:c r="U6" t="str">
        <x:f>IF(A6=1,"初始羊",IF(AND(E6=1,C6&gt;1),"跨层解锁：需要上一层最终羊×2",IF(P6&gt;=32,"阶段门槛：建议配合广告/随机羊","常规解锁")))</x:f>
        <x:v>常规解锁</x:v>
      </x:c>
    </x:row>
    <x:row r="7">
      <x:c r="A7" t="n">
        <x:v>6</x:v>
      </x:c>
      <x:c r="B7" t="str">
        <x:v>暴躁羊</x:v>
      </x:c>
      <x:c r="C7" t="n">
        <x:f>ROUNDUP(A7/20,0)</x:f>
        <x:v>1</x:v>
      </x:c>
      <x:c r="D7" t="str">
        <x:f>INDEX('参数'!$E$4:$E$8,MATCH(C7,'参数'!$D$4:$D$8,0))</x:f>
        <x:v>电子牧场</x:v>
      </x:c>
      <x:c r="E7" t="n">
        <x:f>MOD(A7-1,20)+1</x:f>
        <x:v>6</x:v>
      </x:c>
      <x:c r="F7" t="n">
        <x:f>IF(A7=1,"-",IF(E7=1,'参数'!$B$10,IF(E7&lt;=5,'参数'!$B$6,IF(E7&lt;=10,'参数'!$B$7,IF(E7&lt;=15,'参数'!$B$8,'参数'!$B$9)))) )</x:f>
        <x:v>2.15</x:v>
      </x:c>
      <x:c r="G7" s="14" t="n">
        <x:f>IF(A7=1,1,IF(E7=1,G6*'参数'!$B$10,G6*F7))</x:f>
        <x:v>34.4</x:v>
      </x:c>
      <x:c r="H7" s="14" t="n">
        <x:f>INDEX('参数'!$F$4:$F$8,MATCH(C7,'参数'!$D$4:$D$8,0))</x:f>
        <x:v>60</x:v>
      </x:c>
      <x:c r="I7" s="14" t="n">
        <x:f>G7*H7</x:f>
        <x:v>2064</x:v>
      </x:c>
      <x:c r="J7" s="14" t="str">
        <x:f>"第n次 = 基础购买价 × 所属世界增长倍率^(n-1)"</x:f>
        <x:v>第n次 = 基础购买价 × 所属世界增长倍率^(n-1)</x:v>
      </x:c>
      <x:c r="K7" s="14" t="n">
        <x:f>I7*INDEX('参数'!$G$4:$G$8,MATCH(C7,'参数'!$D$4:$D$8,0))^('参数'!$B$5-1)</x:f>
        <x:v>3487.084571381558</x:v>
      </x:c>
      <x:c r="L7" t="str">
        <x:f>INDEX('参数'!$I$4:$I$8,MATCH(C7,'参数'!$H$4:$H$8,0))</x:f>
        <x:v>Lv.0</x:v>
      </x:c>
      <x:c r="M7" t="n">
        <x:f>INDEX('参数'!$J$4:$J$8,MATCH(C7,'参数'!$H$4:$H$8,0))</x:f>
        <x:v>5</x:v>
      </x:c>
      <x:c r="N7" t="n">
        <x:f>IF(A7=1,"-",IF(AND(E7=1,C7&gt;1),MAX((C7-2)*20+1,A7-1-INDEX('参数'!$J$4:$J$8,MATCH(C7-1,'参数'!$H$4:$H$8,0))),MAX((C7-1)*20+1,A7-1-M7)))</x:f>
        <x:v>1</x:v>
      </x:c>
      <x:c r="O7" t="str">
        <x:f>IF(A7=1,"-",INDEX($B$2:$B$101,MATCH(N7,$A$2:$A$101,0)))</x:f>
        <x:v>实习羊</x:v>
      </x:c>
      <x:c r="P7" s="16" t="n">
        <x:f>IF(A7=1,0,POWER(2,A7-N7))</x:f>
        <x:v>32</x:v>
      </x:c>
      <x:c r="Q7" s="14" t="n">
        <x:f>IF(A7=1,0,INDEX($I$2:$I$101,MATCH(N7,$A$2:$A$101,0))*(POWER(INDEX('参数'!$G$4:$G$8,MATCH(INDEX($C$2:$C$101,MATCH(N7,$A$2:$A$101,0)),'参数'!$D$4:$D$8,0)),P7)-1)/(INDEX('参数'!$G$4:$G$8,MATCH(INDEX($C$2:$C$101,MATCH(N7,$A$2:$A$101,0)),'参数'!$D$4:$D$8,0))-1))</x:f>
        <x:v>5453.386681885334</x:v>
      </x:c>
      <x:c r="R7" s="14" t="n">
        <x:f>IF(A7=1,0,G6*'参数'!$B$4)</x:f>
        <x:v>1.28</x:v>
      </x:c>
      <x:c r="S7" s="18" t="n">
        <x:f>IF(A7=1,0,Q7/R7/3600)</x:f>
        <x:v>1.1834606514508104</x:v>
      </x:c>
      <x:c r="T7" s="18" t="n">
        <x:f>IF(A7=1,0,SUM($S$2:S7)/24)</x:f>
        <x:v>0.13551520932237454</x:v>
      </x:c>
      <x:c r="U7" t="str">
        <x:f>IF(A7=1,"初始羊",IF(AND(E7=1,C7&gt;1),"跨层解锁：需要上一层最终羊×2",IF(P7&gt;=32,"阶段门槛：建议配合广告/随机羊","常规解锁")))</x:f>
        <x:v>阶段门槛：建议配合广告/随机羊</x:v>
      </x:c>
    </x:row>
    <x:row r="8">
      <x:c r="A8" t="n">
        <x:v>7</x:v>
      </x:c>
      <x:c r="B8" t="str">
        <x:v>崩溃羊</x:v>
      </x:c>
      <x:c r="C8" t="n">
        <x:f>ROUNDUP(A8/20,0)</x:f>
        <x:v>1</x:v>
      </x:c>
      <x:c r="D8" t="str">
        <x:f>INDEX('参数'!$E$4:$E$8,MATCH(C8,'参数'!$D$4:$D$8,0))</x:f>
        <x:v>电子牧场</x:v>
      </x:c>
      <x:c r="E8" t="n">
        <x:f>MOD(A8-1,20)+1</x:f>
        <x:v>7</x:v>
      </x:c>
      <x:c r="F8" t="n">
        <x:f>IF(A8=1,"-",IF(E8=1,'参数'!$B$10,IF(E8&lt;=5,'参数'!$B$6,IF(E8&lt;=10,'参数'!$B$7,IF(E8&lt;=15,'参数'!$B$8,'参数'!$B$9)))) )</x:f>
        <x:v>2.15</x:v>
      </x:c>
      <x:c r="G8" s="14" t="n">
        <x:f>IF(A8=1,1,IF(E8=1,G7*'参数'!$B$10,G7*F8))</x:f>
        <x:v>73.96</x:v>
      </x:c>
      <x:c r="H8" s="14" t="n">
        <x:f>INDEX('参数'!$F$4:$F$8,MATCH(C8,'参数'!$D$4:$D$8,0))</x:f>
        <x:v>60</x:v>
      </x:c>
      <x:c r="I8" s="14" t="n">
        <x:f>G8*H8</x:f>
        <x:v>4437.599999999999</x:v>
      </x:c>
      <x:c r="J8" s="14" t="str">
        <x:f>"第n次 = 基础购买价 × 所属世界增长倍率^(n-1)"</x:f>
        <x:v>第n次 = 基础购买价 × 所属世界增长倍率^(n-1)</x:v>
      </x:c>
      <x:c r="K8" s="14" t="n">
        <x:f>I8*INDEX('参数'!$G$4:$G$8,MATCH(C8,'参数'!$D$4:$D$8,0))^('参数'!$B$5-1)</x:f>
        <x:v>7497.231828470349</x:v>
      </x:c>
      <x:c r="L8" t="str">
        <x:f>INDEX('参数'!$I$4:$I$8,MATCH(C8,'参数'!$H$4:$H$8,0))</x:f>
        <x:v>Lv.0</x:v>
      </x:c>
      <x:c r="M8" t="n">
        <x:f>INDEX('参数'!$J$4:$J$8,MATCH(C8,'参数'!$H$4:$H$8,0))</x:f>
        <x:v>5</x:v>
      </x:c>
      <x:c r="N8" t="n">
        <x:f>IF(A8=1,"-",IF(AND(E8=1,C8&gt;1),MAX((C8-2)*20+1,A8-1-INDEX('参数'!$J$4:$J$8,MATCH(C8-1,'参数'!$H$4:$H$8,0))),MAX((C8-1)*20+1,A8-1-M8)))</x:f>
        <x:v>1</x:v>
      </x:c>
      <x:c r="O8" t="str">
        <x:f>IF(A8=1,"-",INDEX($B$2:$B$101,MATCH(N8,$A$2:$A$101,0)))</x:f>
        <x:v>实习羊</x:v>
      </x:c>
      <x:c r="P8" s="16" t="n">
        <x:f>IF(A8=1,0,POWER(2,A8-N8))</x:f>
        <x:v>64</x:v>
      </x:c>
      <x:c r="Q8" s="14" t="n">
        <x:f>IF(A8=1,0,INDEX($I$2:$I$101,MATCH(N8,$A$2:$A$101,0))*(POWER(INDEX('参数'!$G$4:$G$8,MATCH(INDEX($C$2:$C$101,MATCH(N8,$A$2:$A$101,0)),'参数'!$D$4:$D$8,0)),P8)-1)/(INDEX('参数'!$G$4:$G$8,MATCH(INDEX($C$2:$C$101,MATCH(N8,$A$2:$A$101,0)),'参数'!$D$4:$D$8,0))-1))</x:f>
        <x:v>40646.199665935026</x:v>
      </x:c>
      <x:c r="R8" s="14" t="n">
        <x:f>IF(A8=1,0,G7*'参数'!$B$4)</x:f>
        <x:v>2.752</x:v>
      </x:c>
      <x:c r="S8" s="18" t="n">
        <x:f>IF(A8=1,0,Q8/R8/3600)</x:f>
        <x:v>4.102692957236659</x:v>
      </x:c>
      <x:c r="T8" s="18" t="n">
        <x:f>IF(A8=1,0,SUM($S$2:S8)/24)</x:f>
        <x:v>0.3064607492072353</x:v>
      </x:c>
      <x:c r="U8" t="str">
        <x:f>IF(A8=1,"初始羊",IF(AND(E8=1,C8&gt;1),"跨层解锁：需要上一层最终羊×2",IF(P8&gt;=32,"阶段门槛：建议配合广告/随机羊","常规解锁")))</x:f>
        <x:v>阶段门槛：建议配合广告/随机羊</x:v>
      </x:c>
    </x:row>
    <x:row r="9">
      <x:c r="A9" t="n">
        <x:v>8</x:v>
      </x:c>
      <x:c r="B9" t="str">
        <x:v>KPI羊</x:v>
      </x:c>
      <x:c r="C9" t="n">
        <x:f>ROUNDUP(A9/20,0)</x:f>
        <x:v>1</x:v>
      </x:c>
      <x:c r="D9" t="str">
        <x:f>INDEX('参数'!$E$4:$E$8,MATCH(C9,'参数'!$D$4:$D$8,0))</x:f>
        <x:v>电子牧场</x:v>
      </x:c>
      <x:c r="E9" t="n">
        <x:f>MOD(A9-1,20)+1</x:f>
        <x:v>8</x:v>
      </x:c>
      <x:c r="F9" t="n">
        <x:f>IF(A9=1,"-",IF(E9=1,'参数'!$B$10,IF(E9&lt;=5,'参数'!$B$6,IF(E9&lt;=10,'参数'!$B$7,IF(E9&lt;=15,'参数'!$B$8,'参数'!$B$9)))) )</x:f>
        <x:v>2.15</x:v>
      </x:c>
      <x:c r="G9" s="14" t="n">
        <x:f>IF(A9=1,1,IF(E9=1,G8*'参数'!$B$10,G8*F9))</x:f>
        <x:v>159.01399999999998</x:v>
      </x:c>
      <x:c r="H9" s="14" t="n">
        <x:f>INDEX('参数'!$F$4:$F$8,MATCH(C9,'参数'!$D$4:$D$8,0))</x:f>
        <x:v>60</x:v>
      </x:c>
      <x:c r="I9" s="14" t="n">
        <x:f>G9*H9</x:f>
        <x:v>9540.839999999998</x:v>
      </x:c>
      <x:c r="J9" s="14" t="str">
        <x:f>"第n次 = 基础购买价 × 所属世界增长倍率^(n-1)"</x:f>
        <x:v>第n次 = 基础购买价 × 所属世界增长倍率^(n-1)</x:v>
      </x:c>
      <x:c r="K9" s="14" t="n">
        <x:f>I9*INDEX('参数'!$G$4:$G$8,MATCH(C9,'参数'!$D$4:$D$8,0))^('参数'!$B$5-1)</x:f>
        <x:v>16119.04843121125</x:v>
      </x:c>
      <x:c r="L9" t="str">
        <x:f>INDEX('参数'!$I$4:$I$8,MATCH(C9,'参数'!$H$4:$H$8,0))</x:f>
        <x:v>Lv.0</x:v>
      </x:c>
      <x:c r="M9" t="n">
        <x:f>INDEX('参数'!$J$4:$J$8,MATCH(C9,'参数'!$H$4:$H$8,0))</x:f>
        <x:v>5</x:v>
      </x:c>
      <x:c r="N9" t="n">
        <x:f>IF(A9=1,"-",IF(AND(E9=1,C9&gt;1),MAX((C9-2)*20+1,A9-1-INDEX('参数'!$J$4:$J$8,MATCH(C9-1,'参数'!$H$4:$H$8,0))),MAX((C9-1)*20+1,A9-1-M9)))</x:f>
        <x:v>2</x:v>
      </x:c>
      <x:c r="O9" t="str">
        <x:f>IF(A9=1,"-",INDEX($B$2:$B$101,MATCH(N9,$A$2:$A$101,0)))</x:f>
        <x:v>困困羊</x:v>
      </x:c>
      <x:c r="P9" s="16" t="n">
        <x:f>IF(A9=1,0,POWER(2,A9-N9))</x:f>
        <x:v>64</x:v>
      </x:c>
      <x:c r="Q9" s="14" t="n">
        <x:f>IF(A9=1,0,INDEX($I$2:$I$101,MATCH(N9,$A$2:$A$101,0))*(POWER(INDEX('参数'!$G$4:$G$8,MATCH(INDEX($C$2:$C$101,MATCH(N9,$A$2:$A$101,0)),'参数'!$D$4:$D$8,0)),P9)-1)/(INDEX('参数'!$G$4:$G$8,MATCH(INDEX($C$2:$C$101,MATCH(N9,$A$2:$A$101,0)),'参数'!$D$4:$D$8,0))-1))</x:f>
        <x:v>81292.39933187005</x:v>
      </x:c>
      <x:c r="R9" s="14" t="n">
        <x:f>IF(A9=1,0,G8*'参数'!$B$4)</x:f>
        <x:v>5.916799999999999</x:v>
      </x:c>
      <x:c r="S9" s="18" t="n">
        <x:f>IF(A9=1,0,Q9/R9/3600)</x:f>
        <x:v>3.816458564871311</x:v>
      </x:c>
      <x:c r="T9" s="18" t="n">
        <x:f>IF(A9=1,0,SUM($S$2:S9)/24)</x:f>
        <x:v>0.4654798560768733</x:v>
      </x:c>
      <x:c r="U9" t="str">
        <x:f>IF(A9=1,"初始羊",IF(AND(E9=1,C9&gt;1),"跨层解锁：需要上一层最终羊×2",IF(P9&gt;=32,"阶段门槛：建议配合广告/随机羊","常规解锁")))</x:f>
        <x:v>阶段门槛：建议配合广告/随机羊</x:v>
      </x:c>
    </x:row>
    <x:row r="10">
      <x:c r="A10" t="n">
        <x:v>9</x:v>
      </x:c>
      <x:c r="B10" t="str">
        <x:v>内卷羊</x:v>
      </x:c>
      <x:c r="C10" t="n">
        <x:f>ROUNDUP(A10/20,0)</x:f>
        <x:v>1</x:v>
      </x:c>
      <x:c r="D10" t="str">
        <x:f>INDEX('参数'!$E$4:$E$8,MATCH(C10,'参数'!$D$4:$D$8,0))</x:f>
        <x:v>电子牧场</x:v>
      </x:c>
      <x:c r="E10" t="n">
        <x:f>MOD(A10-1,20)+1</x:f>
        <x:v>9</x:v>
      </x:c>
      <x:c r="F10" t="n">
        <x:f>IF(A10=1,"-",IF(E10=1,'参数'!$B$10,IF(E10&lt;=5,'参数'!$B$6,IF(E10&lt;=10,'参数'!$B$7,IF(E10&lt;=15,'参数'!$B$8,'参数'!$B$9)))) )</x:f>
        <x:v>2.15</x:v>
      </x:c>
      <x:c r="G10" s="14" t="n">
        <x:f>IF(A10=1,1,IF(E10=1,G9*'参数'!$B$10,G9*F10))</x:f>
        <x:v>341.88009999999997</x:v>
      </x:c>
      <x:c r="H10" s="14" t="n">
        <x:f>INDEX('参数'!$F$4:$F$8,MATCH(C10,'参数'!$D$4:$D$8,0))</x:f>
        <x:v>60</x:v>
      </x:c>
      <x:c r="I10" s="14" t="n">
        <x:f>G10*H10</x:f>
        <x:v>20512.805999999997</x:v>
      </x:c>
      <x:c r="J10" s="14" t="str">
        <x:f>"第n次 = 基础购买价 × 所属世界增长倍率^(n-1)"</x:f>
        <x:v>第n次 = 基础购买价 × 所属世界增长倍率^(n-1)</x:v>
      </x:c>
      <x:c r="K10" s="14" t="n">
        <x:f>I10*INDEX('参数'!$G$4:$G$8,MATCH(C10,'参数'!$D$4:$D$8,0))^('参数'!$B$5-1)</x:f>
        <x:v>34655.95412710419</x:v>
      </x:c>
      <x:c r="L10" t="str">
        <x:f>INDEX('参数'!$I$4:$I$8,MATCH(C10,'参数'!$H$4:$H$8,0))</x:f>
        <x:v>Lv.0</x:v>
      </x:c>
      <x:c r="M10" t="n">
        <x:f>INDEX('参数'!$J$4:$J$8,MATCH(C10,'参数'!$H$4:$H$8,0))</x:f>
        <x:v>5</x:v>
      </x:c>
      <x:c r="N10" t="n">
        <x:f>IF(A10=1,"-",IF(AND(E10=1,C10&gt;1),MAX((C10-2)*20+1,A10-1-INDEX('参数'!$J$4:$J$8,MATCH(C10-1,'参数'!$H$4:$H$8,0))),MAX((C10-1)*20+1,A10-1-M10)))</x:f>
        <x:v>3</x:v>
      </x:c>
      <x:c r="O10" t="str">
        <x:f>IF(A10=1,"-",INDEX($B$2:$B$101,MATCH(N10,$A$2:$A$101,0)))</x:f>
        <x:v>咖啡羊</x:v>
      </x:c>
      <x:c r="P10" s="16" t="n">
        <x:f>IF(A10=1,0,POWER(2,A10-N10))</x:f>
        <x:v>64</x:v>
      </x:c>
      <x:c r="Q10" s="14" t="n">
        <x:f>IF(A10=1,0,INDEX($I$2:$I$101,MATCH(N10,$A$2:$A$101,0))*(POWER(INDEX('参数'!$G$4:$G$8,MATCH(INDEX($C$2:$C$101,MATCH(N10,$A$2:$A$101,0)),'参数'!$D$4:$D$8,0)),P10)-1)/(INDEX('参数'!$G$4:$G$8,MATCH(INDEX($C$2:$C$101,MATCH(N10,$A$2:$A$101,0)),'参数'!$D$4:$D$8,0))-1))</x:f>
        <x:v>162584.7986637401</x:v>
      </x:c>
      <x:c r="R10" s="14" t="n">
        <x:f>IF(A10=1,0,G9*'参数'!$B$4)</x:f>
        <x:v>12.721119999999999</x:v>
      </x:c>
      <x:c r="S10" s="18" t="n">
        <x:f>IF(A10=1,0,Q10/R10/3600)</x:f>
        <x:v>3.5501940138337775</x:v>
      </x:c>
      <x:c r="T10" s="18" t="n">
        <x:f>IF(A10=1,0,SUM($S$2:S10)/24)</x:f>
        <x:v>0.6134046066532807</x:v>
      </x:c>
      <x:c r="U10" t="str">
        <x:f>IF(A10=1,"初始羊",IF(AND(E10=1,C10&gt;1),"跨层解锁：需要上一层最终羊×2",IF(P10&gt;=32,"阶段门槛：建议配合广告/随机羊","常规解锁")))</x:f>
        <x:v>阶段门槛：建议配合广告/随机羊</x:v>
      </x:c>
    </x:row>
    <x:row r="11">
      <x:c r="A11" t="n">
        <x:v>10</x:v>
      </x:c>
      <x:c r="B11" t="str">
        <x:v>电子羊</x:v>
      </x:c>
      <x:c r="C11" t="n">
        <x:f>ROUNDUP(A11/20,0)</x:f>
        <x:v>1</x:v>
      </x:c>
      <x:c r="D11" t="str">
        <x:f>INDEX('参数'!$E$4:$E$8,MATCH(C11,'参数'!$D$4:$D$8,0))</x:f>
        <x:v>电子牧场</x:v>
      </x:c>
      <x:c r="E11" t="n">
        <x:f>MOD(A11-1,20)+1</x:f>
        <x:v>10</x:v>
      </x:c>
      <x:c r="F11" t="n">
        <x:f>IF(A11=1,"-",IF(E11=1,'参数'!$B$10,IF(E11&lt;=5,'参数'!$B$6,IF(E11&lt;=10,'参数'!$B$7,IF(E11&lt;=15,'参数'!$B$8,'参数'!$B$9)))) )</x:f>
        <x:v>2.15</x:v>
      </x:c>
      <x:c r="G11" s="14" t="n">
        <x:f>IF(A11=1,1,IF(E11=1,G10*'参数'!$B$10,G10*F11))</x:f>
        <x:v>735.0422149999999</x:v>
      </x:c>
      <x:c r="H11" s="14" t="n">
        <x:f>INDEX('参数'!$F$4:$F$8,MATCH(C11,'参数'!$D$4:$D$8,0))</x:f>
        <x:v>60</x:v>
      </x:c>
      <x:c r="I11" s="14" t="n">
        <x:f>G11*H11</x:f>
        <x:v>44102.5329</x:v>
      </x:c>
      <x:c r="J11" s="14" t="str">
        <x:f>"第n次 = 基础购买价 × 所属世界增长倍率^(n-1)"</x:f>
        <x:v>第n次 = 基础购买价 × 所属世界增长倍率^(n-1)</x:v>
      </x:c>
      <x:c r="K11" s="14" t="n">
        <x:f>I11*INDEX('参数'!$G$4:$G$8,MATCH(C11,'参数'!$D$4:$D$8,0))^('参数'!$B$5-1)</x:f>
        <x:v>74510.30137327401</x:v>
      </x:c>
      <x:c r="L11" t="str">
        <x:f>INDEX('参数'!$I$4:$I$8,MATCH(C11,'参数'!$H$4:$H$8,0))</x:f>
        <x:v>Lv.0</x:v>
      </x:c>
      <x:c r="M11" t="n">
        <x:f>INDEX('参数'!$J$4:$J$8,MATCH(C11,'参数'!$H$4:$H$8,0))</x:f>
        <x:v>5</x:v>
      </x:c>
      <x:c r="N11" t="n">
        <x:f>IF(A11=1,"-",IF(AND(E11=1,C11&gt;1),MAX((C11-2)*20+1,A11-1-INDEX('参数'!$J$4:$J$8,MATCH(C11-1,'参数'!$H$4:$H$8,0))),MAX((C11-1)*20+1,A11-1-M11)))</x:f>
        <x:v>4</x:v>
      </x:c>
      <x:c r="O11" t="str">
        <x:f>IF(A11=1,"-",INDEX($B$2:$B$101,MATCH(N11,$A$2:$A$101,0)))</x:f>
        <x:v>摸鱼羊</x:v>
      </x:c>
      <x:c r="P11" s="16" t="n">
        <x:f>IF(A11=1,0,POWER(2,A11-N11))</x:f>
        <x:v>64</x:v>
      </x:c>
      <x:c r="Q11" s="14" t="n">
        <x:f>IF(A11=1,0,INDEX($I$2:$I$101,MATCH(N11,$A$2:$A$101,0))*(POWER(INDEX('参数'!$G$4:$G$8,MATCH(INDEX($C$2:$C$101,MATCH(N11,$A$2:$A$101,0)),'参数'!$D$4:$D$8,0)),P11)-1)/(INDEX('参数'!$G$4:$G$8,MATCH(INDEX($C$2:$C$101,MATCH(N11,$A$2:$A$101,0)),'参数'!$D$4:$D$8,0))-1))</x:f>
        <x:v>325169.5973274802</x:v>
      </x:c>
      <x:c r="R11" s="14" t="n">
        <x:f>IF(A11=1,0,G10*'参数'!$B$4)</x:f>
        <x:v>27.350407999999998</x:v>
      </x:c>
      <x:c r="S11" s="18" t="n">
        <x:f>IF(A11=1,0,Q11/R11/3600)</x:f>
        <x:v>3.302506059380258</x:v>
      </x:c>
      <x:c r="T11" s="18" t="n">
        <x:f>IF(A11=1,0,SUM($S$2:S11)/24)</x:f>
        <x:v>0.7510090257941249</x:v>
      </x:c>
      <x:c r="U11" t="str">
        <x:f>IF(A11=1,"初始羊",IF(AND(E11=1,C11&gt;1),"跨层解锁：需要上一层最终羊×2",IF(P11&gt;=32,"阶段门槛：建议配合广告/随机羊","常规解锁")))</x:f>
        <x:v>阶段门槛：建议配合广告/随机羊</x:v>
      </x:c>
    </x:row>
    <x:row r="12">
      <x:c r="A12" t="n">
        <x:v>11</x:v>
      </x:c>
      <x:c r="B12" t="str">
        <x:v>404羊</x:v>
      </x:c>
      <x:c r="C12" t="n">
        <x:f>ROUNDUP(A12/20,0)</x:f>
        <x:v>1</x:v>
      </x:c>
      <x:c r="D12" t="str">
        <x:f>INDEX('参数'!$E$4:$E$8,MATCH(C12,'参数'!$D$4:$D$8,0))</x:f>
        <x:v>电子牧场</x:v>
      </x:c>
      <x:c r="E12" t="n">
        <x:f>MOD(A12-1,20)+1</x:f>
        <x:v>11</x:v>
      </x:c>
      <x:c r="F12" t="n">
        <x:f>IF(A12=1,"-",IF(E12=1,'参数'!$B$10,IF(E12&lt;=5,'参数'!$B$6,IF(E12&lt;=10,'参数'!$B$7,IF(E12&lt;=15,'参数'!$B$8,'参数'!$B$9)))) )</x:f>
        <x:v>2.3</x:v>
      </x:c>
      <x:c r="G12" s="14" t="n">
        <x:f>IF(A12=1,1,IF(E12=1,G11*'参数'!$B$10,G11*F12))</x:f>
        <x:v>1690.5970944999997</x:v>
      </x:c>
      <x:c r="H12" s="14" t="n">
        <x:f>INDEX('参数'!$F$4:$F$8,MATCH(C12,'参数'!$D$4:$D$8,0))</x:f>
        <x:v>60</x:v>
      </x:c>
      <x:c r="I12" s="14" t="n">
        <x:f>G12*H12</x:f>
        <x:v>101435.82566999998</x:v>
      </x:c>
      <x:c r="J12" s="14" t="str">
        <x:f>"第n次 = 基础购买价 × 所属世界增长倍率^(n-1)"</x:f>
        <x:v>第n次 = 基础购买价 × 所属世界增长倍率^(n-1)</x:v>
      </x:c>
      <x:c r="K12" s="14" t="n">
        <x:f>I12*INDEX('参数'!$G$4:$G$8,MATCH(C12,'参数'!$D$4:$D$8,0))^('参数'!$B$5-1)</x:f>
        <x:v>171373.6931585302</x:v>
      </x:c>
      <x:c r="L12" t="str">
        <x:f>INDEX('参数'!$I$4:$I$8,MATCH(C12,'参数'!$H$4:$H$8,0))</x:f>
        <x:v>Lv.0</x:v>
      </x:c>
      <x:c r="M12" t="n">
        <x:f>INDEX('参数'!$J$4:$J$8,MATCH(C12,'参数'!$H$4:$H$8,0))</x:f>
        <x:v>5</x:v>
      </x:c>
      <x:c r="N12" t="n">
        <x:f>IF(A12=1,"-",IF(AND(E12=1,C12&gt;1),MAX((C12-2)*20+1,A12-1-INDEX('参数'!$J$4:$J$8,MATCH(C12-1,'参数'!$H$4:$H$8,0))),MAX((C12-1)*20+1,A12-1-M12)))</x:f>
        <x:v>5</x:v>
      </x:c>
      <x:c r="O12" t="str">
        <x:f>IF(A12=1,"-",INDEX($B$2:$B$101,MATCH(N12,$A$2:$A$101,0)))</x:f>
        <x:v>加班羊</x:v>
      </x:c>
      <x:c r="P12" s="16" t="n">
        <x:f>IF(A12=1,0,POWER(2,A12-N12))</x:f>
        <x:v>64</x:v>
      </x:c>
      <x:c r="Q12" s="14" t="n">
        <x:f>IF(A12=1,0,INDEX($I$2:$I$101,MATCH(N12,$A$2:$A$101,0))*(POWER(INDEX('参数'!$G$4:$G$8,MATCH(INDEX($C$2:$C$101,MATCH(N12,$A$2:$A$101,0)),'参数'!$D$4:$D$8,0)),P12)-1)/(INDEX('参数'!$G$4:$G$8,MATCH(INDEX($C$2:$C$101,MATCH(N12,$A$2:$A$101,0)),'参数'!$D$4:$D$8,0))-1))</x:f>
        <x:v>650339.1946549604</x:v>
      </x:c>
      <x:c r="R12" s="14" t="n">
        <x:f>IF(A12=1,0,G11*'参数'!$B$4)</x:f>
        <x:v>58.8033772</x:v>
      </x:c>
      <x:c r="S12" s="18" t="n">
        <x:f>IF(A12=1,0,Q12/R12/3600)</x:f>
        <x:v>3.072098659888612</x:v>
      </x:c>
      <x:c r="T12" s="18" t="n">
        <x:f>IF(A12=1,0,SUM($S$2:S12)/24)</x:f>
        <x:v>0.8790131366228171</x:v>
      </x:c>
      <x:c r="U12" t="str">
        <x:f>IF(A12=1,"初始羊",IF(AND(E12=1,C12&gt;1),"跨层解锁：需要上一层最终羊×2",IF(P12&gt;=32,"阶段门槛：建议配合广告/随机羊","常规解锁")))</x:f>
        <x:v>阶段门槛：建议配合广告/随机羊</x:v>
      </x:c>
    </x:row>
    <x:row r="13">
      <x:c r="A13" t="n">
        <x:v>12</x:v>
      </x:c>
      <x:c r="B13" t="str">
        <x:v>病毒羊</x:v>
      </x:c>
      <x:c r="C13" t="n">
        <x:f>ROUNDUP(A13/20,0)</x:f>
        <x:v>1</x:v>
      </x:c>
      <x:c r="D13" t="str">
        <x:f>INDEX('参数'!$E$4:$E$8,MATCH(C13,'参数'!$D$4:$D$8,0))</x:f>
        <x:v>电子牧场</x:v>
      </x:c>
      <x:c r="E13" t="n">
        <x:f>MOD(A13-1,20)+1</x:f>
        <x:v>12</x:v>
      </x:c>
      <x:c r="F13" t="n">
        <x:f>IF(A13=1,"-",IF(E13=1,'参数'!$B$10,IF(E13&lt;=5,'参数'!$B$6,IF(E13&lt;=10,'参数'!$B$7,IF(E13&lt;=15,'参数'!$B$8,'参数'!$B$9)))) )</x:f>
        <x:v>2.3</x:v>
      </x:c>
      <x:c r="G13" s="14" t="n">
        <x:f>IF(A13=1,1,IF(E13=1,G12*'参数'!$B$10,G12*F13))</x:f>
        <x:v>3888.373317349999</x:v>
      </x:c>
      <x:c r="H13" s="14" t="n">
        <x:f>INDEX('参数'!$F$4:$F$8,MATCH(C13,'参数'!$D$4:$D$8,0))</x:f>
        <x:v>60</x:v>
      </x:c>
      <x:c r="I13" s="14" t="n">
        <x:f>G13*H13</x:f>
        <x:v>233302.39904099994</x:v>
      </x:c>
      <x:c r="J13" s="14" t="str">
        <x:f>"第n次 = 基础购买价 × 所属世界增长倍率^(n-1)"</x:f>
        <x:v>第n次 = 基础购买价 × 所属世界增长倍率^(n-1)</x:v>
      </x:c>
      <x:c r="K13" s="14" t="n">
        <x:f>I13*INDEX('参数'!$G$4:$G$8,MATCH(C13,'参数'!$D$4:$D$8,0))^('参数'!$B$5-1)</x:f>
        <x:v>394159.4942646194</x:v>
      </x:c>
      <x:c r="L13" t="str">
        <x:f>INDEX('参数'!$I$4:$I$8,MATCH(C13,'参数'!$H$4:$H$8,0))</x:f>
        <x:v>Lv.0</x:v>
      </x:c>
      <x:c r="M13" t="n">
        <x:f>INDEX('参数'!$J$4:$J$8,MATCH(C13,'参数'!$H$4:$H$8,0))</x:f>
        <x:v>5</x:v>
      </x:c>
      <x:c r="N13" t="n">
        <x:f>IF(A13=1,"-",IF(AND(E13=1,C13&gt;1),MAX((C13-2)*20+1,A13-1-INDEX('参数'!$J$4:$J$8,MATCH(C13-1,'参数'!$H$4:$H$8,0))),MAX((C13-1)*20+1,A13-1-M13)))</x:f>
        <x:v>6</x:v>
      </x:c>
      <x:c r="O13" t="str">
        <x:f>IF(A13=1,"-",INDEX($B$2:$B$101,MATCH(N13,$A$2:$A$101,0)))</x:f>
        <x:v>暴躁羊</x:v>
      </x:c>
      <x:c r="P13" s="16" t="n">
        <x:f>IF(A13=1,0,POWER(2,A13-N13))</x:f>
        <x:v>64</x:v>
      </x:c>
      <x:c r="Q13" s="14" t="n">
        <x:f>IF(A13=1,0,INDEX($I$2:$I$101,MATCH(N13,$A$2:$A$101,0))*(POWER(INDEX('参数'!$G$4:$G$8,MATCH(INDEX($C$2:$C$101,MATCH(N13,$A$2:$A$101,0)),'参数'!$D$4:$D$8,0)),P13)-1)/(INDEX('参数'!$G$4:$G$8,MATCH(INDEX($C$2:$C$101,MATCH(N13,$A$2:$A$101,0)),'参数'!$D$4:$D$8,0))-1))</x:f>
        <x:v>1398229.268508165</x:v>
      </x:c>
      <x:c r="R13" s="14" t="n">
        <x:f>IF(A13=1,0,G12*'参数'!$B$4)</x:f>
        <x:v>135.24776755999997</x:v>
      </x:c>
      <x:c r="S13" s="18" t="n">
        <x:f>IF(A13=1,0,Q13/R13/3600)</x:f>
        <x:v>2.8717443994610945</x:v>
      </x:c>
      <x:c r="T13" s="18" t="n">
        <x:f>IF(A13=1,0,SUM($S$2:S13)/24)</x:f>
        <x:v>0.9986691532670293</x:v>
      </x:c>
      <x:c r="U13" t="str">
        <x:f>IF(A13=1,"初始羊",IF(AND(E13=1,C13&gt;1),"跨层解锁：需要上一层最终羊×2",IF(P13&gt;=32,"阶段门槛：建议配合广告/随机羊","常规解锁")))</x:f>
        <x:v>阶段门槛：建议配合广告/随机羊</x:v>
      </x:c>
    </x:row>
    <x:row r="14">
      <x:c r="A14" t="n">
        <x:v>13</x:v>
      </x:c>
      <x:c r="B14" t="str">
        <x:v>直播羊</x:v>
      </x:c>
      <x:c r="C14" t="n">
        <x:f>ROUNDUP(A14/20,0)</x:f>
        <x:v>1</x:v>
      </x:c>
      <x:c r="D14" t="str">
        <x:f>INDEX('参数'!$E$4:$E$8,MATCH(C14,'参数'!$D$4:$D$8,0))</x:f>
        <x:v>电子牧场</x:v>
      </x:c>
      <x:c r="E14" t="n">
        <x:f>MOD(A14-1,20)+1</x:f>
        <x:v>13</x:v>
      </x:c>
      <x:c r="F14" t="n">
        <x:f>IF(A14=1,"-",IF(E14=1,'参数'!$B$10,IF(E14&lt;=5,'参数'!$B$6,IF(E14&lt;=10,'参数'!$B$7,IF(E14&lt;=15,'参数'!$B$8,'参数'!$B$9)))) )</x:f>
        <x:v>2.3</x:v>
      </x:c>
      <x:c r="G14" s="14" t="n">
        <x:f>IF(A14=1,1,IF(E14=1,G13*'参数'!$B$10,G13*F14))</x:f>
        <x:v>8943.258629904996</x:v>
      </x:c>
      <x:c r="H14" s="14" t="n">
        <x:f>INDEX('参数'!$F$4:$F$8,MATCH(C14,'参数'!$D$4:$D$8,0))</x:f>
        <x:v>60</x:v>
      </x:c>
      <x:c r="I14" s="14" t="n">
        <x:f>G14*H14</x:f>
        <x:v>536595.5177942998</x:v>
      </x:c>
      <x:c r="J14" s="14" t="str">
        <x:f>"第n次 = 基础购买价 × 所属世界增长倍率^(n-1)"</x:f>
        <x:v>第n次 = 基础购买价 × 所属世界增长倍率^(n-1)</x:v>
      </x:c>
      <x:c r="K14" s="14" t="n">
        <x:f>I14*INDEX('参数'!$G$4:$G$8,MATCH(C14,'参数'!$D$4:$D$8,0))^('参数'!$B$5-1)</x:f>
        <x:v>906566.8368086244</x:v>
      </x:c>
      <x:c r="L14" t="str">
        <x:f>INDEX('参数'!$I$4:$I$8,MATCH(C14,'参数'!$H$4:$H$8,0))</x:f>
        <x:v>Lv.0</x:v>
      </x:c>
      <x:c r="M14" t="n">
        <x:f>INDEX('参数'!$J$4:$J$8,MATCH(C14,'参数'!$H$4:$H$8,0))</x:f>
        <x:v>5</x:v>
      </x:c>
      <x:c r="N14" t="n">
        <x:f>IF(A14=1,"-",IF(AND(E14=1,C14&gt;1),MAX((C14-2)*20+1,A14-1-INDEX('参数'!$J$4:$J$8,MATCH(C14-1,'参数'!$H$4:$H$8,0))),MAX((C14-1)*20+1,A14-1-M14)))</x:f>
        <x:v>7</x:v>
      </x:c>
      <x:c r="O14" t="str">
        <x:f>IF(A14=1,"-",INDEX($B$2:$B$101,MATCH(N14,$A$2:$A$101,0)))</x:f>
        <x:v>崩溃羊</x:v>
      </x:c>
      <x:c r="P14" s="16" t="n">
        <x:f>IF(A14=1,0,POWER(2,A14-N14))</x:f>
        <x:v>64</x:v>
      </x:c>
      <x:c r="Q14" s="14" t="n">
        <x:f>IF(A14=1,0,INDEX($I$2:$I$101,MATCH(N14,$A$2:$A$101,0))*(POWER(INDEX('参数'!$G$4:$G$8,MATCH(INDEX($C$2:$C$101,MATCH(N14,$A$2:$A$101,0)),'参数'!$D$4:$D$8,0)),P14)-1)/(INDEX('参数'!$G$4:$G$8,MATCH(INDEX($C$2:$C$101,MATCH(N14,$A$2:$A$101,0)),'参数'!$D$4:$D$8,0))-1))</x:f>
        <x:v>3006192.9272925537</x:v>
      </x:c>
      <x:c r="R14" s="14" t="n">
        <x:f>IF(A14=1,0,G13*'参数'!$B$4)</x:f>
        <x:v>311.0698653879999</x:v>
      </x:c>
      <x:c r="S14" s="18" t="n">
        <x:f>IF(A14=1,0,Q14/R14/3600)</x:f>
        <x:v>2.68445672123537</x:v>
      </x:c>
      <x:c r="T14" s="18" t="n">
        <x:f>IF(A14=1,0,SUM($S$2:S14)/24)</x:f>
        <x:v>1.1105215166518365</x:v>
      </x:c>
      <x:c r="U14" t="str">
        <x:f>IF(A14=1,"初始羊",IF(AND(E14=1,C14&gt;1),"跨层解锁：需要上一层最终羊×2",IF(P14&gt;=32,"阶段门槛：建议配合广告/随机羊","常规解锁")))</x:f>
        <x:v>阶段门槛：建议配合广告/随机羊</x:v>
      </x:c>
    </x:row>
    <x:row r="15">
      <x:c r="A15" t="n">
        <x:v>14</x:v>
      </x:c>
      <x:c r="B15" t="str">
        <x:v>焦虑羊</x:v>
      </x:c>
      <x:c r="C15" t="n">
        <x:f>ROUNDUP(A15/20,0)</x:f>
        <x:v>1</x:v>
      </x:c>
      <x:c r="D15" t="str">
        <x:f>INDEX('参数'!$E$4:$E$8,MATCH(C15,'参数'!$D$4:$D$8,0))</x:f>
        <x:v>电子牧场</x:v>
      </x:c>
      <x:c r="E15" t="n">
        <x:f>MOD(A15-1,20)+1</x:f>
        <x:v>14</x:v>
      </x:c>
      <x:c r="F15" t="n">
        <x:f>IF(A15=1,"-",IF(E15=1,'参数'!$B$10,IF(E15&lt;=5,'参数'!$B$6,IF(E15&lt;=10,'参数'!$B$7,IF(E15&lt;=15,'参数'!$B$8,'参数'!$B$9)))) )</x:f>
        <x:v>2.3</x:v>
      </x:c>
      <x:c r="G15" s="14" t="n">
        <x:f>IF(A15=1,1,IF(E15=1,G14*'参数'!$B$10,G14*F15))</x:f>
        <x:v>20569.49484878149</x:v>
      </x:c>
      <x:c r="H15" s="14" t="n">
        <x:f>INDEX('参数'!$F$4:$F$8,MATCH(C15,'参数'!$D$4:$D$8,0))</x:f>
        <x:v>60</x:v>
      </x:c>
      <x:c r="I15" s="14" t="n">
        <x:f>G15*H15</x:f>
        <x:v>1234169.6909268894</x:v>
      </x:c>
      <x:c r="J15" s="14" t="str">
        <x:f>"第n次 = 基础购买价 × 所属世界增长倍率^(n-1)"</x:f>
        <x:v>第n次 = 基础购买价 × 所属世界增长倍率^(n-1)</x:v>
      </x:c>
      <x:c r="K15" s="14" t="n">
        <x:f>I15*INDEX('参数'!$G$4:$G$8,MATCH(C15,'参数'!$D$4:$D$8,0))^('参数'!$B$5-1)</x:f>
        <x:v>2085103.7246598364</x:v>
      </x:c>
      <x:c r="L15" t="str">
        <x:f>INDEX('参数'!$I$4:$I$8,MATCH(C15,'参数'!$H$4:$H$8,0))</x:f>
        <x:v>Lv.0</x:v>
      </x:c>
      <x:c r="M15" t="n">
        <x:f>INDEX('参数'!$J$4:$J$8,MATCH(C15,'参数'!$H$4:$H$8,0))</x:f>
        <x:v>5</x:v>
      </x:c>
      <x:c r="N15" t="n">
        <x:f>IF(A15=1,"-",IF(AND(E15=1,C15&gt;1),MAX((C15-2)*20+1,A15-1-INDEX('参数'!$J$4:$J$8,MATCH(C15-1,'参数'!$H$4:$H$8,0))),MAX((C15-1)*20+1,A15-1-M15)))</x:f>
        <x:v>8</x:v>
      </x:c>
      <x:c r="O15" t="str">
        <x:f>IF(A15=1,"-",INDEX($B$2:$B$101,MATCH(N15,$A$2:$A$101,0)))</x:f>
        <x:v>KPI羊</x:v>
      </x:c>
      <x:c r="P15" s="16" t="n">
        <x:f>IF(A15=1,0,POWER(2,A15-N15))</x:f>
        <x:v>64</x:v>
      </x:c>
      <x:c r="Q15" s="14" t="n">
        <x:f>IF(A15=1,0,INDEX($I$2:$I$101,MATCH(N15,$A$2:$A$101,0))*(POWER(INDEX('参数'!$G$4:$G$8,MATCH(INDEX($C$2:$C$101,MATCH(N15,$A$2:$A$101,0)),'参数'!$D$4:$D$8,0)),P15)-1)/(INDEX('参数'!$G$4:$G$8,MATCH(INDEX($C$2:$C$101,MATCH(N15,$A$2:$A$101,0)),'参数'!$D$4:$D$8,0))-1))</x:f>
        <x:v>6463314.793678991</x:v>
      </x:c>
      <x:c r="R15" s="14" t="n">
        <x:f>IF(A15=1,0,G14*'参数'!$B$4)</x:f>
        <x:v>715.4606903923997</x:v>
      </x:c>
      <x:c r="S15" s="18" t="n">
        <x:f>IF(A15=1,0,Q15/R15/3600)</x:f>
        <x:v>2.509383456806977</x:v>
      </x:c>
      <x:c r="T15" s="18" t="n">
        <x:f>IF(A15=1,0,SUM($S$2:S15)/24)</x:f>
        <x:v>1.2150791606854605</x:v>
      </x:c>
      <x:c r="U15" t="str">
        <x:f>IF(A15=1,"初始羊",IF(AND(E15=1,C15&gt;1),"跨层解锁：需要上一层最终羊×2",IF(P15&gt;=32,"阶段门槛：建议配合广告/随机羊","常规解锁")))</x:f>
        <x:v>阶段门槛：建议配合广告/随机羊</x:v>
      </x:c>
    </x:row>
    <x:row r="16">
      <x:c r="A16" t="n">
        <x:v>15</x:v>
      </x:c>
      <x:c r="B16" t="str">
        <x:v>发疯羊</x:v>
      </x:c>
      <x:c r="C16" t="n">
        <x:f>ROUNDUP(A16/20,0)</x:f>
        <x:v>1</x:v>
      </x:c>
      <x:c r="D16" t="str">
        <x:f>INDEX('参数'!$E$4:$E$8,MATCH(C16,'参数'!$D$4:$D$8,0))</x:f>
        <x:v>电子牧场</x:v>
      </x:c>
      <x:c r="E16" t="n">
        <x:f>MOD(A16-1,20)+1</x:f>
        <x:v>15</x:v>
      </x:c>
      <x:c r="F16" t="n">
        <x:f>IF(A16=1,"-",IF(E16=1,'参数'!$B$10,IF(E16&lt;=5,'参数'!$B$6,IF(E16&lt;=10,'参数'!$B$7,IF(E16&lt;=15,'参数'!$B$8,'参数'!$B$9)))) )</x:f>
        <x:v>2.3</x:v>
      </x:c>
      <x:c r="G16" s="14" t="n">
        <x:f>IF(A16=1,1,IF(E16=1,G15*'参数'!$B$10,G15*F16))</x:f>
        <x:v>47309.83815219742</x:v>
      </x:c>
      <x:c r="H16" s="14" t="n">
        <x:f>INDEX('参数'!$F$4:$F$8,MATCH(C16,'参数'!$D$4:$D$8,0))</x:f>
        <x:v>60</x:v>
      </x:c>
      <x:c r="I16" s="14" t="n">
        <x:f>G16*H16</x:f>
        <x:v>2838590.2891318453</x:v>
      </x:c>
      <x:c r="J16" s="14" t="str">
        <x:f>"第n次 = 基础购买价 × 所属世界增长倍率^(n-1)"</x:f>
        <x:v>第n次 = 基础购买价 × 所属世界增长倍率^(n-1)</x:v>
      </x:c>
      <x:c r="K16" s="14" t="n">
        <x:f>I16*INDEX('参数'!$G$4:$G$8,MATCH(C16,'参数'!$D$4:$D$8,0))^('参数'!$B$5-1)</x:f>
        <x:v>4795738.566717623</x:v>
      </x:c>
      <x:c r="L16" t="str">
        <x:f>INDEX('参数'!$I$4:$I$8,MATCH(C16,'参数'!$H$4:$H$8,0))</x:f>
        <x:v>Lv.0</x:v>
      </x:c>
      <x:c r="M16" t="n">
        <x:f>INDEX('参数'!$J$4:$J$8,MATCH(C16,'参数'!$H$4:$H$8,0))</x:f>
        <x:v>5</x:v>
      </x:c>
      <x:c r="N16" t="n">
        <x:f>IF(A16=1,"-",IF(AND(E16=1,C16&gt;1),MAX((C16-2)*20+1,A16-1-INDEX('参数'!$J$4:$J$8,MATCH(C16-1,'参数'!$H$4:$H$8,0))),MAX((C16-1)*20+1,A16-1-M16)))</x:f>
        <x:v>9</x:v>
      </x:c>
      <x:c r="O16" t="str">
        <x:f>IF(A16=1,"-",INDEX($B$2:$B$101,MATCH(N16,$A$2:$A$101,0)))</x:f>
        <x:v>内卷羊</x:v>
      </x:c>
      <x:c r="P16" s="16" t="n">
        <x:f>IF(A16=1,0,POWER(2,A16-N16))</x:f>
        <x:v>64</x:v>
      </x:c>
      <x:c r="Q16" s="14" t="n">
        <x:f>IF(A16=1,0,INDEX($I$2:$I$101,MATCH(N16,$A$2:$A$101,0))*(POWER(INDEX('参数'!$G$4:$G$8,MATCH(INDEX($C$2:$C$101,MATCH(N16,$A$2:$A$101,0)),'参数'!$D$4:$D$8,0)),P16)-1)/(INDEX('参数'!$G$4:$G$8,MATCH(INDEX($C$2:$C$101,MATCH(N16,$A$2:$A$101,0)),'参数'!$D$4:$D$8,0))-1))</x:f>
        <x:v>13896126.806409828</x:v>
      </x:c>
      <x:c r="R16" s="14" t="n">
        <x:f>IF(A16=1,0,G15*'参数'!$B$4)</x:f>
        <x:v>1645.5595879025193</x:v>
      </x:c>
      <x:c r="S16" s="18" t="n">
        <x:f>IF(A16=1,0,Q16/R16/3600)</x:f>
        <x:v>2.345728013971739</x:v>
      </x:c>
      <x:c r="T16" s="18" t="n">
        <x:f>IF(A16=1,0,SUM($S$2:S16)/24)</x:f>
        <x:v>1.312817827934283</x:v>
      </x:c>
      <x:c r="U16" t="str">
        <x:f>IF(A16=1,"初始羊",IF(AND(E16=1,C16&gt;1),"跨层解锁：需要上一层最终羊×2",IF(P16&gt;=32,"阶段门槛：建议配合广告/随机羊","常规解锁")))</x:f>
        <x:v>阶段门槛：建议配合广告/随机羊</x:v>
      </x:c>
    </x:row>
    <x:row r="17">
      <x:c r="A17" t="n">
        <x:v>16</x:v>
      </x:c>
      <x:c r="B17" t="str">
        <x:v>尖叫羊</x:v>
      </x:c>
      <x:c r="C17" t="n">
        <x:f>ROUNDUP(A17/20,0)</x:f>
        <x:v>1</x:v>
      </x:c>
      <x:c r="D17" t="str">
        <x:f>INDEX('参数'!$E$4:$E$8,MATCH(C17,'参数'!$D$4:$D$8,0))</x:f>
        <x:v>电子牧场</x:v>
      </x:c>
      <x:c r="E17" t="n">
        <x:f>MOD(A17-1,20)+1</x:f>
        <x:v>16</x:v>
      </x:c>
      <x:c r="F17" t="n">
        <x:f>IF(A17=1,"-",IF(E17=1,'参数'!$B$10,IF(E17&lt;=5,'参数'!$B$6,IF(E17&lt;=10,'参数'!$B$7,IF(E17&lt;=15,'参数'!$B$8,'参数'!$B$9)))) )</x:f>
        <x:v>2.5</x:v>
      </x:c>
      <x:c r="G17" s="14" t="n">
        <x:f>IF(A17=1,1,IF(E17=1,G16*'参数'!$B$10,G16*F17))</x:f>
        <x:v>118274.59538049356</x:v>
      </x:c>
      <x:c r="H17" s="14" t="n">
        <x:f>INDEX('参数'!$F$4:$F$8,MATCH(C17,'参数'!$D$4:$D$8,0))</x:f>
        <x:v>60</x:v>
      </x:c>
      <x:c r="I17" s="14" t="n">
        <x:f>G17*H17</x:f>
        <x:v>7096475.722829614</x:v>
      </x:c>
      <x:c r="J17" s="14" t="str">
        <x:f>"第n次 = 基础购买价 × 所属世界增长倍率^(n-1)"</x:f>
        <x:v>第n次 = 基础购买价 × 所属世界增长倍率^(n-1)</x:v>
      </x:c>
      <x:c r="K17" s="14" t="n">
        <x:f>I17*INDEX('参数'!$G$4:$G$8,MATCH(C17,'参数'!$D$4:$D$8,0))^('参数'!$B$5-1)</x:f>
        <x:v>11989346.416794058</x:v>
      </x:c>
      <x:c r="L17" t="str">
        <x:f>INDEX('参数'!$I$4:$I$8,MATCH(C17,'参数'!$H$4:$H$8,0))</x:f>
        <x:v>Lv.0</x:v>
      </x:c>
      <x:c r="M17" t="n">
        <x:f>INDEX('参数'!$J$4:$J$8,MATCH(C17,'参数'!$H$4:$H$8,0))</x:f>
        <x:v>5</x:v>
      </x:c>
      <x:c r="N17" t="n">
        <x:f>IF(A17=1,"-",IF(AND(E17=1,C17&gt;1),MAX((C17-2)*20+1,A17-1-INDEX('参数'!$J$4:$J$8,MATCH(C17-1,'参数'!$H$4:$H$8,0))),MAX((C17-1)*20+1,A17-1-M17)))</x:f>
        <x:v>10</x:v>
      </x:c>
      <x:c r="O17" t="str">
        <x:f>IF(A17=1,"-",INDEX($B$2:$B$101,MATCH(N17,$A$2:$A$101,0)))</x:f>
        <x:v>电子羊</x:v>
      </x:c>
      <x:c r="P17" s="16" t="n">
        <x:f>IF(A17=1,0,POWER(2,A17-N17))</x:f>
        <x:v>64</x:v>
      </x:c>
      <x:c r="Q17" s="14" t="n">
        <x:f>IF(A17=1,0,INDEX($I$2:$I$101,MATCH(N17,$A$2:$A$101,0))*(POWER(INDEX('参数'!$G$4:$G$8,MATCH(INDEX($C$2:$C$101,MATCH(N17,$A$2:$A$101,0)),'参数'!$D$4:$D$8,0)),P17)-1)/(INDEX('参数'!$G$4:$G$8,MATCH(INDEX($C$2:$C$101,MATCH(N17,$A$2:$A$101,0)),'参数'!$D$4:$D$8,0))-1))</x:f>
        <x:v>29876672.63378114</x:v>
      </x:c>
      <x:c r="R17" s="14" t="n">
        <x:f>IF(A17=1,0,G16*'参数'!$B$4)</x:f>
        <x:v>3784.787052175794</x:v>
      </x:c>
      <x:c r="S17" s="18" t="n">
        <x:f>IF(A17=1,0,Q17/R17/3600)</x:f>
        <x:v>2.1927457521909743</x:v>
      </x:c>
      <x:c r="T17" s="18" t="n">
        <x:f>IF(A17=1,0,SUM($S$2:S17)/24)</x:f>
        <x:v>1.4041822342755736</x:v>
      </x:c>
      <x:c r="U17" t="str">
        <x:f>IF(A17=1,"初始羊",IF(AND(E17=1,C17&gt;1),"跨层解锁：需要上一层最终羊×2",IF(P17&gt;=32,"阶段门槛：建议配合广告/随机羊","常规解锁")))</x:f>
        <x:v>阶段门槛：建议配合广告/随机羊</x:v>
      </x:c>
    </x:row>
    <x:row r="18">
      <x:c r="A18" t="n">
        <x:v>17</x:v>
      </x:c>
      <x:c r="B18" t="str">
        <x:v>超频羊</x:v>
      </x:c>
      <x:c r="C18" t="n">
        <x:f>ROUNDUP(A18/20,0)</x:f>
        <x:v>1</x:v>
      </x:c>
      <x:c r="D18" t="str">
        <x:f>INDEX('参数'!$E$4:$E$8,MATCH(C18,'参数'!$D$4:$D$8,0))</x:f>
        <x:v>电子牧场</x:v>
      </x:c>
      <x:c r="E18" t="n">
        <x:f>MOD(A18-1,20)+1</x:f>
        <x:v>17</x:v>
      </x:c>
      <x:c r="F18" t="n">
        <x:f>IF(A18=1,"-",IF(E18=1,'参数'!$B$10,IF(E18&lt;=5,'参数'!$B$6,IF(E18&lt;=10,'参数'!$B$7,IF(E18&lt;=15,'参数'!$B$8,'参数'!$B$9)))) )</x:f>
        <x:v>2.5</x:v>
      </x:c>
      <x:c r="G18" s="14" t="n">
        <x:f>IF(A18=1,1,IF(E18=1,G17*'参数'!$B$10,G17*F18))</x:f>
        <x:v>295686.4884512339</x:v>
      </x:c>
      <x:c r="H18" s="14" t="n">
        <x:f>INDEX('参数'!$F$4:$F$8,MATCH(C18,'参数'!$D$4:$D$8,0))</x:f>
        <x:v>60</x:v>
      </x:c>
      <x:c r="I18" s="14" t="n">
        <x:f>G18*H18</x:f>
        <x:v>17741189.307074033</x:v>
      </x:c>
      <x:c r="J18" s="14" t="str">
        <x:f>"第n次 = 基础购买价 × 所属世界增长倍率^(n-1)"</x:f>
        <x:v>第n次 = 基础购买价 × 所属世界增长倍率^(n-1)</x:v>
      </x:c>
      <x:c r="K18" s="14" t="n">
        <x:f>I18*INDEX('参数'!$G$4:$G$8,MATCH(C18,'参数'!$D$4:$D$8,0))^('参数'!$B$5-1)</x:f>
        <x:v>29973366.041985143</x:v>
      </x:c>
      <x:c r="L18" t="str">
        <x:f>INDEX('参数'!$I$4:$I$8,MATCH(C18,'参数'!$H$4:$H$8,0))</x:f>
        <x:v>Lv.0</x:v>
      </x:c>
      <x:c r="M18" t="n">
        <x:f>INDEX('参数'!$J$4:$J$8,MATCH(C18,'参数'!$H$4:$H$8,0))</x:f>
        <x:v>5</x:v>
      </x:c>
      <x:c r="N18" t="n">
        <x:f>IF(A18=1,"-",IF(AND(E18=1,C18&gt;1),MAX((C18-2)*20+1,A18-1-INDEX('参数'!$J$4:$J$8,MATCH(C18-1,'参数'!$H$4:$H$8,0))),MAX((C18-1)*20+1,A18-1-M18)))</x:f>
        <x:v>11</x:v>
      </x:c>
      <x:c r="O18" t="str">
        <x:f>IF(A18=1,"-",INDEX($B$2:$B$101,MATCH(N18,$A$2:$A$101,0)))</x:f>
        <x:v>404羊</x:v>
      </x:c>
      <x:c r="P18" s="16" t="n">
        <x:f>IF(A18=1,0,POWER(2,A18-N18))</x:f>
        <x:v>64</x:v>
      </x:c>
      <x:c r="Q18" s="14" t="n">
        <x:f>IF(A18=1,0,INDEX($I$2:$I$101,MATCH(N18,$A$2:$A$101,0))*(POWER(INDEX('参数'!$G$4:$G$8,MATCH(INDEX($C$2:$C$101,MATCH(N18,$A$2:$A$101,0)),'参数'!$D$4:$D$8,0)),P18)-1)/(INDEX('参数'!$G$4:$G$8,MATCH(INDEX($C$2:$C$101,MATCH(N18,$A$2:$A$101,0)),'参数'!$D$4:$D$8,0))-1))</x:f>
        <x:v>68716347.05769661</x:v>
      </x:c>
      <x:c r="R18" s="14" t="n">
        <x:f>IF(A18=1,0,G17*'参数'!$B$4)</x:f>
        <x:v>9461.967630439485</x:v>
      </x:c>
      <x:c r="S18" s="18" t="n">
        <x:f>IF(A18=1,0,Q18/R18/3600)</x:f>
        <x:v>2.017326092015696</x:v>
      </x:c>
      <x:c r="T18" s="18" t="n">
        <x:f>IF(A18=1,0,SUM($S$2:S18)/24)</x:f>
        <x:v>1.4882374881095608</x:v>
      </x:c>
      <x:c r="U18" t="str">
        <x:f>IF(A18=1,"初始羊",IF(AND(E18=1,C18&gt;1),"跨层解锁：需要上一层最终羊×2",IF(P18&gt;=32,"阶段门槛：建议配合广告/随机羊","常规解锁")))</x:f>
        <x:v>阶段门槛：建议配合广告/随机羊</x:v>
      </x:c>
    </x:row>
    <x:row r="19">
      <x:c r="A19" t="n">
        <x:v>18</x:v>
      </x:c>
      <x:c r="B19" t="str">
        <x:v>乱码羊</x:v>
      </x:c>
      <x:c r="C19" t="n">
        <x:f>ROUNDUP(A19/20,0)</x:f>
        <x:v>1</x:v>
      </x:c>
      <x:c r="D19" t="str">
        <x:f>INDEX('参数'!$E$4:$E$8,MATCH(C19,'参数'!$D$4:$D$8,0))</x:f>
        <x:v>电子牧场</x:v>
      </x:c>
      <x:c r="E19" t="n">
        <x:f>MOD(A19-1,20)+1</x:f>
        <x:v>18</x:v>
      </x:c>
      <x:c r="F19" t="n">
        <x:f>IF(A19=1,"-",IF(E19=1,'参数'!$B$10,IF(E19&lt;=5,'参数'!$B$6,IF(E19&lt;=10,'参数'!$B$7,IF(E19&lt;=15,'参数'!$B$8,'参数'!$B$9)))) )</x:f>
        <x:v>2.5</x:v>
      </x:c>
      <x:c r="G19" s="14" t="n">
        <x:f>IF(A19=1,1,IF(E19=1,G18*'参数'!$B$10,G18*F19))</x:f>
        <x:v>739216.2211280847</x:v>
      </x:c>
      <x:c r="H19" s="14" t="n">
        <x:f>INDEX('参数'!$F$4:$F$8,MATCH(C19,'参数'!$D$4:$D$8,0))</x:f>
        <x:v>60</x:v>
      </x:c>
      <x:c r="I19" s="14" t="n">
        <x:f>G19*H19</x:f>
        <x:v>44352973.267685086</x:v>
      </x:c>
      <x:c r="J19" s="14" t="str">
        <x:f>"第n次 = 基础购买价 × 所属世界增长倍率^(n-1)"</x:f>
        <x:v>第n次 = 基础购买价 × 所属世界增长倍率^(n-1)</x:v>
      </x:c>
      <x:c r="K19" s="14" t="n">
        <x:f>I19*INDEX('参数'!$G$4:$G$8,MATCH(C19,'参数'!$D$4:$D$8,0))^('参数'!$B$5-1)</x:f>
        <x:v>74933415.10496286</x:v>
      </x:c>
      <x:c r="L19" t="str">
        <x:f>INDEX('参数'!$I$4:$I$8,MATCH(C19,'参数'!$H$4:$H$8,0))</x:f>
        <x:v>Lv.0</x:v>
      </x:c>
      <x:c r="M19" t="n">
        <x:f>INDEX('参数'!$J$4:$J$8,MATCH(C19,'参数'!$H$4:$H$8,0))</x:f>
        <x:v>5</x:v>
      </x:c>
      <x:c r="N19" t="n">
        <x:f>IF(A19=1,"-",IF(AND(E19=1,C19&gt;1),MAX((C19-2)*20+1,A19-1-INDEX('参数'!$J$4:$J$8,MATCH(C19-1,'参数'!$H$4:$H$8,0))),MAX((C19-1)*20+1,A19-1-M19)))</x:f>
        <x:v>12</x:v>
      </x:c>
      <x:c r="O19" t="str">
        <x:f>IF(A19=1,"-",INDEX($B$2:$B$101,MATCH(N19,$A$2:$A$101,0)))</x:f>
        <x:v>病毒羊</x:v>
      </x:c>
      <x:c r="P19" s="16" t="n">
        <x:f>IF(A19=1,0,POWER(2,A19-N19))</x:f>
        <x:v>64</x:v>
      </x:c>
      <x:c r="Q19" s="14" t="n">
        <x:f>IF(A19=1,0,INDEX($I$2:$I$101,MATCH(N19,$A$2:$A$101,0))*(POWER(INDEX('参数'!$G$4:$G$8,MATCH(INDEX($C$2:$C$101,MATCH(N19,$A$2:$A$101,0)),'参数'!$D$4:$D$8,0)),P19)-1)/(INDEX('参数'!$G$4:$G$8,MATCH(INDEX($C$2:$C$101,MATCH(N19,$A$2:$A$101,0)),'参数'!$D$4:$D$8,0))-1))</x:f>
        <x:v>158047598.23270217</x:v>
      </x:c>
      <x:c r="R19" s="14" t="n">
        <x:f>IF(A19=1,0,G18*'参数'!$B$4)</x:f>
        <x:v>23654.91907609871</x:v>
      </x:c>
      <x:c r="S19" s="18" t="n">
        <x:f>IF(A19=1,0,Q19/R19/3600)</x:f>
        <x:v>1.85594000465444</x:v>
      </x:c>
      <x:c r="T19" s="18" t="n">
        <x:f>IF(A19=1,0,SUM($S$2:S19)/24)</x:f>
        <x:v>1.5655683216368292</x:v>
      </x:c>
      <x:c r="U19" t="str">
        <x:f>IF(A19=1,"初始羊",IF(AND(E19=1,C19&gt;1),"跨层解锁：需要上一层最终羊×2",IF(P19&gt;=32,"阶段门槛：建议配合广告/随机羊","常规解锁")))</x:f>
        <x:v>阶段门槛：建议配合广告/随机羊</x:v>
      </x:c>
    </x:row>
    <x:row r="20">
      <x:c r="A20" t="n">
        <x:v>19</x:v>
      </x:c>
      <x:c r="B20" t="str">
        <x:v>虚无羊</x:v>
      </x:c>
      <x:c r="C20" t="n">
        <x:f>ROUNDUP(A20/20,0)</x:f>
        <x:v>1</x:v>
      </x:c>
      <x:c r="D20" t="str">
        <x:f>INDEX('参数'!$E$4:$E$8,MATCH(C20,'参数'!$D$4:$D$8,0))</x:f>
        <x:v>电子牧场</x:v>
      </x:c>
      <x:c r="E20" t="n">
        <x:f>MOD(A20-1,20)+1</x:f>
        <x:v>19</x:v>
      </x:c>
      <x:c r="F20" t="n">
        <x:f>IF(A20=1,"-",IF(E20=1,'参数'!$B$10,IF(E20&lt;=5,'参数'!$B$6,IF(E20&lt;=10,'参数'!$B$7,IF(E20&lt;=15,'参数'!$B$8,'参数'!$B$9)))) )</x:f>
        <x:v>2.5</x:v>
      </x:c>
      <x:c r="G20" s="14" t="n">
        <x:f>IF(A20=1,1,IF(E20=1,G19*'参数'!$B$10,G19*F20))</x:f>
        <x:v>1848040.5528202117</x:v>
      </x:c>
      <x:c r="H20" s="14" t="n">
        <x:f>INDEX('参数'!$F$4:$F$8,MATCH(C20,'参数'!$D$4:$D$8,0))</x:f>
        <x:v>60</x:v>
      </x:c>
      <x:c r="I20" s="14" t="n">
        <x:f>G20*H20</x:f>
        <x:v>110882433.1692127</x:v>
      </x:c>
      <x:c r="J20" s="14" t="str">
        <x:f>"第n次 = 基础购买价 × 所属世界增长倍率^(n-1)"</x:f>
        <x:v>第n次 = 基础购买价 × 所属世界增长倍率^(n-1)</x:v>
      </x:c>
      <x:c r="K20" s="14" t="n">
        <x:f>I20*INDEX('参数'!$G$4:$G$8,MATCH(C20,'参数'!$D$4:$D$8,0))^('参数'!$B$5-1)</x:f>
        <x:v>187333537.76240712</x:v>
      </x:c>
      <x:c r="L20" t="str">
        <x:f>INDEX('参数'!$I$4:$I$8,MATCH(C20,'参数'!$H$4:$H$8,0))</x:f>
        <x:v>Lv.0</x:v>
      </x:c>
      <x:c r="M20" t="n">
        <x:f>INDEX('参数'!$J$4:$J$8,MATCH(C20,'参数'!$H$4:$H$8,0))</x:f>
        <x:v>5</x:v>
      </x:c>
      <x:c r="N20" t="n">
        <x:f>IF(A20=1,"-",IF(AND(E20=1,C20&gt;1),MAX((C20-2)*20+1,A20-1-INDEX('参数'!$J$4:$J$8,MATCH(C20-1,'参数'!$H$4:$H$8,0))),MAX((C20-1)*20+1,A20-1-M20)))</x:f>
        <x:v>13</x:v>
      </x:c>
      <x:c r="O20" t="str">
        <x:f>IF(A20=1,"-",INDEX($B$2:$B$101,MATCH(N20,$A$2:$A$101,0)))</x:f>
        <x:v>直播羊</x:v>
      </x:c>
      <x:c r="P20" s="16" t="n">
        <x:f>IF(A20=1,0,POWER(2,A20-N20))</x:f>
        <x:v>64</x:v>
      </x:c>
      <x:c r="Q20" s="14" t="n">
        <x:f>IF(A20=1,0,INDEX($I$2:$I$101,MATCH(N20,$A$2:$A$101,0))*(POWER(INDEX('参数'!$G$4:$G$8,MATCH(INDEX($C$2:$C$101,MATCH(N20,$A$2:$A$101,0)),'参数'!$D$4:$D$8,0)),P20)-1)/(INDEX('参数'!$G$4:$G$8,MATCH(INDEX($C$2:$C$101,MATCH(N20,$A$2:$A$101,0)),'参数'!$D$4:$D$8,0))-1))</x:f>
        <x:v>363509475.93521494</x:v>
      </x:c>
      <x:c r="R20" s="14" t="n">
        <x:f>IF(A20=1,0,G19*'参数'!$B$4)</x:f>
        <x:v>59137.29769024678</x:v>
      </x:c>
      <x:c r="S20" s="18" t="n">
        <x:f>IF(A20=1,0,Q20/R20/3600)</x:f>
        <x:v>1.7074648042820846</x:v>
      </x:c>
      <x:c r="T20" s="18" t="n">
        <x:f>IF(A20=1,0,SUM($S$2:S20)/24)</x:f>
        <x:v>1.636712688481916</x:v>
      </x:c>
      <x:c r="U20" t="str">
        <x:f>IF(A20=1,"初始羊",IF(AND(E20=1,C20&gt;1),"跨层解锁：需要上一层最终羊×2",IF(P20&gt;=32,"阶段门槛：建议配合广告/随机羊","常规解锁")))</x:f>
        <x:v>阶段门槛：建议配合广告/随机羊</x:v>
      </x:c>
    </x:row>
    <x:row r="21">
      <x:c r="A21" t="n">
        <x:v>20</x:v>
      </x:c>
      <x:c r="B21" t="str">
        <x:v>觉醒羊</x:v>
      </x:c>
      <x:c r="C21" t="n">
        <x:f>ROUNDUP(A21/20,0)</x:f>
        <x:v>1</x:v>
      </x:c>
      <x:c r="D21" t="str">
        <x:f>INDEX('参数'!$E$4:$E$8,MATCH(C21,'参数'!$D$4:$D$8,0))</x:f>
        <x:v>电子牧场</x:v>
      </x:c>
      <x:c r="E21" t="n">
        <x:f>MOD(A21-1,20)+1</x:f>
        <x:v>20</x:v>
      </x:c>
      <x:c r="F21" t="n">
        <x:f>IF(A21=1,"-",IF(E21=1,'参数'!$B$10,IF(E21&lt;=5,'参数'!$B$6,IF(E21&lt;=10,'参数'!$B$7,IF(E21&lt;=15,'参数'!$B$8,'参数'!$B$9)))) )</x:f>
        <x:v>2.5</x:v>
      </x:c>
      <x:c r="G21" s="14" t="n">
        <x:f>IF(A21=1,1,IF(E21=1,G20*'参数'!$B$10,G20*F21))</x:f>
        <x:v>4620101.382050529</x:v>
      </x:c>
      <x:c r="H21" s="14" t="n">
        <x:f>INDEX('参数'!$F$4:$F$8,MATCH(C21,'参数'!$D$4:$D$8,0))</x:f>
        <x:v>60</x:v>
      </x:c>
      <x:c r="I21" s="14" t="n">
        <x:f>G21*H21</x:f>
        <x:v>277206082.92303175</x:v>
      </x:c>
      <x:c r="J21" s="14" t="str">
        <x:f>"第n次 = 基础购买价 × 所属世界增长倍率^(n-1)"</x:f>
        <x:v>第n次 = 基础购买价 × 所属世界增长倍率^(n-1)</x:v>
      </x:c>
      <x:c r="K21" s="14" t="n">
        <x:f>I21*INDEX('参数'!$G$4:$G$8,MATCH(C21,'参数'!$D$4:$D$8,0))^('参数'!$B$5-1)</x:f>
        <x:v>468333844.40601784</x:v>
      </x:c>
      <x:c r="L21" t="str">
        <x:f>INDEX('参数'!$I$4:$I$8,MATCH(C21,'参数'!$H$4:$H$8,0))</x:f>
        <x:v>Lv.0</x:v>
      </x:c>
      <x:c r="M21" t="n">
        <x:f>INDEX('参数'!$J$4:$J$8,MATCH(C21,'参数'!$H$4:$H$8,0))</x:f>
        <x:v>5</x:v>
      </x:c>
      <x:c r="N21" t="n">
        <x:f>IF(A21=1,"-",IF(AND(E21=1,C21&gt;1),MAX((C21-2)*20+1,A21-1-INDEX('参数'!$J$4:$J$8,MATCH(C21-1,'参数'!$H$4:$H$8,0))),MAX((C21-1)*20+1,A21-1-M21)))</x:f>
        <x:v>14</x:v>
      </x:c>
      <x:c r="O21" t="str">
        <x:f>IF(A21=1,"-",INDEX($B$2:$B$101,MATCH(N21,$A$2:$A$101,0)))</x:f>
        <x:v>焦虑羊</x:v>
      </x:c>
      <x:c r="P21" s="16" t="n">
        <x:f>IF(A21=1,0,POWER(2,A21-N21))</x:f>
        <x:v>64</x:v>
      </x:c>
      <x:c r="Q21" s="14" t="n">
        <x:f>IF(A21=1,0,INDEX($I$2:$I$101,MATCH(N21,$A$2:$A$101,0))*(POWER(INDEX('参数'!$G$4:$G$8,MATCH(INDEX($C$2:$C$101,MATCH(N21,$A$2:$A$101,0)),'参数'!$D$4:$D$8,0)),P21)-1)/(INDEX('参数'!$G$4:$G$8,MATCH(INDEX($C$2:$C$101,MATCH(N21,$A$2:$A$101,0)),'参数'!$D$4:$D$8,0))-1))</x:f>
        <x:v>836071794.6509944</x:v>
      </x:c>
      <x:c r="R21" s="14" t="n">
        <x:f>IF(A21=1,0,G20*'参数'!$B$4)</x:f>
        <x:v>147843.24422561695</x:v>
      </x:c>
      <x:c r="S21" s="18" t="n">
        <x:f>IF(A21=1,0,Q21/R21/3600)</x:f>
        <x:v>1.570867619939518</x:v>
      </x:c>
      <x:c r="T21" s="18" t="n">
        <x:f>IF(A21=1,0,SUM($S$2:S21)/24)</x:f>
        <x:v>1.702165505979396</x:v>
      </x:c>
      <x:c r="U21" t="str">
        <x:f>IF(A21=1,"初始羊",IF(AND(E21=1,C21&gt;1),"跨层解锁：需要上一层最终羊×2",IF(P21&gt;=32,"阶段门槛：建议配合广告/随机羊","常规解锁")))</x:f>
        <x:v>阶段门槛：建议配合广告/随机羊</x:v>
      </x:c>
    </x:row>
    <x:row r="22">
      <x:c r="A22" t="n">
        <x:v>21</x:v>
      </x:c>
      <x:c r="B22" t="str">
        <x:v>偷窥羊</x:v>
      </x:c>
      <x:c r="C22" t="n">
        <x:f>ROUNDUP(A22/20,0)</x:f>
        <x:v>2</x:v>
      </x:c>
      <x:c r="D22" t="str">
        <x:f>INDEX('参数'!$E$4:$E$8,MATCH(C22,'参数'!$D$4:$D$8,0))</x:f>
        <x:v>奇怪梦境层</x:v>
      </x:c>
      <x:c r="E22" t="n">
        <x:f>MOD(A22-1,20)+1</x:f>
        <x:v>1</x:v>
      </x:c>
      <x:c r="F22" t="n">
        <x:f>IF(A22=1,"-",IF(E22=1,'参数'!$B$10,IF(E22&lt;=5,'参数'!$B$6,IF(E22&lt;=10,'参数'!$B$7,IF(E22&lt;=15,'参数'!$B$8,'参数'!$B$9)))) )</x:f>
        <x:v>3</x:v>
      </x:c>
      <x:c r="G22" s="14" t="n">
        <x:f>IF(A22=1,1,IF(E22=1,G21*'参数'!$B$10,G21*F22))</x:f>
        <x:v>13860304.146151587</x:v>
      </x:c>
      <x:c r="H22" s="14" t="n">
        <x:f>INDEX('参数'!$F$4:$F$8,MATCH(C22,'参数'!$D$4:$D$8,0))</x:f>
        <x:v>180</x:v>
      </x:c>
      <x:c r="I22" s="14" t="n">
        <x:f>G22*H22</x:f>
        <x:v>2494854746.307286</x:v>
      </x:c>
      <x:c r="J22" s="14" t="str">
        <x:f>"第n次 = 基础购买价 × 所属世界增长倍率^(n-1)"</x:f>
        <x:v>第n次 = 基础购买价 × 所属世界增长倍率^(n-1)</x:v>
      </x:c>
      <x:c r="K22" s="14" t="n">
        <x:f>I22*INDEX('参数'!$G$4:$G$8,MATCH(C22,'参数'!$D$4:$D$8,0))^('参数'!$B$5-1)</x:f>
        <x:v>6381930562.034957</x:v>
      </x:c>
      <x:c r="L22" t="str">
        <x:f>INDEX('参数'!$I$4:$I$8,MATCH(C22,'参数'!$H$4:$H$8,0))</x:f>
        <x:v>Lv.1</x:v>
      </x:c>
      <x:c r="M22" t="n">
        <x:f>INDEX('参数'!$J$4:$J$8,MATCH(C22,'参数'!$H$4:$H$8,0))</x:f>
        <x:v>4</x:v>
      </x:c>
      <x:c r="N22" t="n">
        <x:f>IF(A22=1,"-",IF(AND(E22=1,C22&gt;1),MAX((C22-2)*20+1,A22-1-INDEX('参数'!$J$4:$J$8,MATCH(C22-1,'参数'!$H$4:$H$8,0))),MAX((C22-1)*20+1,A22-1-M22)))</x:f>
        <x:v>15</x:v>
      </x:c>
      <x:c r="O22" t="str">
        <x:f>IF(A22=1,"-",INDEX($B$2:$B$101,MATCH(N22,$A$2:$A$101,0)))</x:f>
        <x:v>发疯羊</x:v>
      </x:c>
      <x:c r="P22" s="16" t="n">
        <x:f>IF(A22=1,0,POWER(2,A22-N22))</x:f>
        <x:v>64</x:v>
      </x:c>
      <x:c r="Q22" s="14" t="n">
        <x:f>IF(A22=1,0,INDEX($I$2:$I$101,MATCH(N22,$A$2:$A$101,0))*(POWER(INDEX('参数'!$G$4:$G$8,MATCH(INDEX($C$2:$C$101,MATCH(N22,$A$2:$A$101,0)),'参数'!$D$4:$D$8,0)),P22)-1)/(INDEX('参数'!$G$4:$G$8,MATCH(INDEX($C$2:$C$101,MATCH(N22,$A$2:$A$101,0)),'参数'!$D$4:$D$8,0))-1))</x:f>
        <x:v>1922965127.6972868</x:v>
      </x:c>
      <x:c r="R22" s="14" t="n">
        <x:f>IF(A22=1,0,G21*'参数'!$B$4)</x:f>
        <x:v>369608.11056404235</x:v>
      </x:c>
      <x:c r="S22" s="18" t="n">
        <x:f>IF(A22=1,0,Q22/R22/3600)</x:f>
        <x:v>1.4451982103443564</x:v>
      </x:c>
      <x:c r="T22" s="18" t="n">
        <x:f>IF(A22=1,0,SUM($S$2:S22)/24)</x:f>
        <x:v>1.7623820980770777</x:v>
      </x:c>
      <x:c r="U22" t="str">
        <x:f>IF(A22=1,"初始羊",IF(AND(E22=1,C22&gt;1),"跨层解锁：需要上一层最终羊×2",IF(P22&gt;=32,"阶段门槛：建议配合广告/随机羊","常规解锁")))</x:f>
        <x:v>跨层解锁：需要上一层最终羊×2</x:v>
      </x:c>
    </x:row>
    <x:row r="23">
      <x:c r="A23" t="n">
        <x:v>22</x:v>
      </x:c>
      <x:c r="B23" t="str">
        <x:v>梦游羊</x:v>
      </x:c>
      <x:c r="C23" t="n">
        <x:f>ROUNDUP(A23/20,0)</x:f>
        <x:v>2</x:v>
      </x:c>
      <x:c r="D23" t="str">
        <x:f>INDEX('参数'!$E$4:$E$8,MATCH(C23,'参数'!$D$4:$D$8,0))</x:f>
        <x:v>奇怪梦境层</x:v>
      </x:c>
      <x:c r="E23" t="n">
        <x:f>MOD(A23-1,20)+1</x:f>
        <x:v>2</x:v>
      </x:c>
      <x:c r="F23" t="n">
        <x:f>IF(A23=1,"-",IF(E23=1,'参数'!$B$10,IF(E23&lt;=5,'参数'!$B$6,IF(E23&lt;=10,'参数'!$B$7,IF(E23&lt;=15,'参数'!$B$8,'参数'!$B$9)))) )</x:f>
        <x:v>2</x:v>
      </x:c>
      <x:c r="G23" s="14" t="n">
        <x:f>IF(A23=1,1,IF(E23=1,G22*'参数'!$B$10,G22*F23))</x:f>
        <x:v>27720608.292303175</x:v>
      </x:c>
      <x:c r="H23" s="14" t="n">
        <x:f>INDEX('参数'!$F$4:$F$8,MATCH(C23,'参数'!$D$4:$D$8,0))</x:f>
        <x:v>180</x:v>
      </x:c>
      <x:c r="I23" s="14" t="n">
        <x:f>G23*H23</x:f>
        <x:v>4989709492.614572</x:v>
      </x:c>
      <x:c r="J23" s="14" t="str">
        <x:f>"第n次 = 基础购买价 × 所属世界增长倍率^(n-1)"</x:f>
        <x:v>第n次 = 基础购买价 × 所属世界增长倍率^(n-1)</x:v>
      </x:c>
      <x:c r="K23" s="14" t="n">
        <x:f>I23*INDEX('参数'!$G$4:$G$8,MATCH(C23,'参数'!$D$4:$D$8,0))^('参数'!$B$5-1)</x:f>
        <x:v>12763861124.069914</x:v>
      </x:c>
      <x:c r="L23" t="str">
        <x:f>INDEX('参数'!$I$4:$I$8,MATCH(C23,'参数'!$H$4:$H$8,0))</x:f>
        <x:v>Lv.1</x:v>
      </x:c>
      <x:c r="M23" t="n">
        <x:f>INDEX('参数'!$J$4:$J$8,MATCH(C23,'参数'!$H$4:$H$8,0))</x:f>
        <x:v>4</x:v>
      </x:c>
      <x:c r="N23" t="n">
        <x:f>IF(A23=1,"-",IF(AND(E23=1,C23&gt;1),MAX((C23-2)*20+1,A23-1-INDEX('参数'!$J$4:$J$8,MATCH(C23-1,'参数'!$H$4:$H$8,0))),MAX((C23-1)*20+1,A23-1-M23)))</x:f>
        <x:v>21</x:v>
      </x:c>
      <x:c r="O23" t="str">
        <x:f>IF(A23=1,"-",INDEX($B$2:$B$101,MATCH(N23,$A$2:$A$101,0)))</x:f>
        <x:v>偷窥羊</x:v>
      </x:c>
      <x:c r="P23" s="16" t="n">
        <x:f>IF(A23=1,0,POWER(2,A23-N23))</x:f>
        <x:v>2</x:v>
      </x:c>
      <x:c r="Q23" s="14" t="n">
        <x:f>IF(A23=1,0,INDEX($I$2:$I$101,MATCH(N23,$A$2:$A$101,0))*(POWER(INDEX('参数'!$G$4:$G$8,MATCH(INDEX($C$2:$C$101,MATCH(N23,$A$2:$A$101,0)),'参数'!$D$4:$D$8,0)),P23)-1)/(INDEX('参数'!$G$4:$G$8,MATCH(INDEX($C$2:$C$101,MATCH(N23,$A$2:$A$101,0)),'参数'!$D$4:$D$8,0))-1))</x:f>
        <x:v>5264143514.708372</x:v>
      </x:c>
      <x:c r="R23" s="14" t="n">
        <x:f>IF(A23=1,0,G22*'参数'!$B$4)</x:f>
        <x:v>1108824.331692127</x:v>
      </x:c>
      <x:c r="S23" s="18" t="n">
        <x:f>IF(A23=1,0,Q23/R23/3600)</x:f>
        <x:v>1.3187499999999996</x:v>
      </x:c>
      <x:c r="T23" s="18" t="n">
        <x:f>IF(A23=1,0,SUM($S$2:S23)/24)</x:f>
        <x:v>1.8173300147437443</x:v>
      </x:c>
      <x:c r="U23" t="str">
        <x:f>IF(A23=1,"初始羊",IF(AND(E23=1,C23&gt;1),"跨层解锁：需要上一层最终羊×2",IF(P23&gt;=32,"阶段门槛：建议配合广告/随机羊","常规解锁")))</x:f>
        <x:v>常规解锁</x:v>
      </x:c>
    </x:row>
    <x:row r="24">
      <x:c r="A24" t="n">
        <x:v>23</x:v>
      </x:c>
      <x:c r="B24" t="str">
        <x:v>低语羊</x:v>
      </x:c>
      <x:c r="C24" t="n">
        <x:f>ROUNDUP(A24/20,0)</x:f>
        <x:v>2</x:v>
      </x:c>
      <x:c r="D24" t="str">
        <x:f>INDEX('参数'!$E$4:$E$8,MATCH(C24,'参数'!$D$4:$D$8,0))</x:f>
        <x:v>奇怪梦境层</x:v>
      </x:c>
      <x:c r="E24" t="n">
        <x:f>MOD(A24-1,20)+1</x:f>
        <x:v>3</x:v>
      </x:c>
      <x:c r="F24" t="n">
        <x:f>IF(A24=1,"-",IF(E24=1,'参数'!$B$10,IF(E24&lt;=5,'参数'!$B$6,IF(E24&lt;=10,'参数'!$B$7,IF(E24&lt;=15,'参数'!$B$8,'参数'!$B$9)))) )</x:f>
        <x:v>2</x:v>
      </x:c>
      <x:c r="G24" s="14" t="n">
        <x:f>IF(A24=1,1,IF(E24=1,G23*'参数'!$B$10,G23*F24))</x:f>
        <x:v>55441216.58460635</x:v>
      </x:c>
      <x:c r="H24" s="14" t="n">
        <x:f>INDEX('参数'!$F$4:$F$8,MATCH(C24,'参数'!$D$4:$D$8,0))</x:f>
        <x:v>180</x:v>
      </x:c>
      <x:c r="I24" s="14" t="n">
        <x:f>G24*H24</x:f>
        <x:v>9979418985.229143</x:v>
      </x:c>
      <x:c r="J24" s="14" t="str">
        <x:f>"第n次 = 基础购买价 × 所属世界增长倍率^(n-1)"</x:f>
        <x:v>第n次 = 基础购买价 × 所属世界增长倍率^(n-1)</x:v>
      </x:c>
      <x:c r="K24" s="14" t="n">
        <x:f>I24*INDEX('参数'!$G$4:$G$8,MATCH(C24,'参数'!$D$4:$D$8,0))^('参数'!$B$5-1)</x:f>
        <x:v>25527722248.139828</x:v>
      </x:c>
      <x:c r="L24" t="str">
        <x:f>INDEX('参数'!$I$4:$I$8,MATCH(C24,'参数'!$H$4:$H$8,0))</x:f>
        <x:v>Lv.1</x:v>
      </x:c>
      <x:c r="M24" t="n">
        <x:f>INDEX('参数'!$J$4:$J$8,MATCH(C24,'参数'!$H$4:$H$8,0))</x:f>
        <x:v>4</x:v>
      </x:c>
      <x:c r="N24" t="n">
        <x:f>IF(A24=1,"-",IF(AND(E24=1,C24&gt;1),MAX((C24-2)*20+1,A24-1-INDEX('参数'!$J$4:$J$8,MATCH(C24-1,'参数'!$H$4:$H$8,0))),MAX((C24-1)*20+1,A24-1-M24)))</x:f>
        <x:v>21</x:v>
      </x:c>
      <x:c r="O24" t="str">
        <x:f>IF(A24=1,"-",INDEX($B$2:$B$101,MATCH(N24,$A$2:$A$101,0)))</x:f>
        <x:v>偷窥羊</x:v>
      </x:c>
      <x:c r="P24" s="16" t="n">
        <x:f>IF(A24=1,0,POWER(2,A24-N24))</x:f>
        <x:v>4</x:v>
      </x:c>
      <x:c r="Q24" s="14" t="n">
        <x:f>IF(A24=1,0,INDEX($I$2:$I$101,MATCH(N24,$A$2:$A$101,0))*(POWER(INDEX('参数'!$G$4:$G$8,MATCH(INDEX($C$2:$C$101,MATCH(N24,$A$2:$A$101,0)),'参数'!$D$4:$D$8,0)),P24)-1)/(INDEX('参数'!$G$4:$G$8,MATCH(INDEX($C$2:$C$101,MATCH(N24,$A$2:$A$101,0)),'参数'!$D$4:$D$8,0))-1))</x:f>
        <x:v>11750094739.18056</x:v>
      </x:c>
      <x:c r="R24" s="14" t="n">
        <x:f>IF(A24=1,0,G23*'参数'!$B$4)</x:f>
        <x:v>2217648.663384254</x:v>
      </x:c>
      <x:c r="S24" s="18" t="n">
        <x:f>IF(A24=1,0,Q24/R24/3600)</x:f>
        <x:v>1.4717909375</x:v>
      </x:c>
      <x:c r="T24" s="18" t="n">
        <x:f>IF(A24=1,0,SUM($S$2:S24)/24)</x:f>
        <x:v>1.8786546371395778</x:v>
      </x:c>
      <x:c r="U24" t="str">
        <x:f>IF(A24=1,"初始羊",IF(AND(E24=1,C24&gt;1),"跨层解锁：需要上一层最终羊×2",IF(P24&gt;=32,"阶段门槛：建议配合广告/随机羊","常规解锁")))</x:f>
        <x:v>常规解锁</x:v>
      </x:c>
    </x:row>
    <x:row r="25">
      <x:c r="A25" t="n">
        <x:v>24</x:v>
      </x:c>
      <x:c r="B25" t="str">
        <x:v>分裂羊</x:v>
      </x:c>
      <x:c r="C25" t="n">
        <x:f>ROUNDUP(A25/20,0)</x:f>
        <x:v>2</x:v>
      </x:c>
      <x:c r="D25" t="str">
        <x:f>INDEX('参数'!$E$4:$E$8,MATCH(C25,'参数'!$D$4:$D$8,0))</x:f>
        <x:v>奇怪梦境层</x:v>
      </x:c>
      <x:c r="E25" t="n">
        <x:f>MOD(A25-1,20)+1</x:f>
        <x:v>4</x:v>
      </x:c>
      <x:c r="F25" t="n">
        <x:f>IF(A25=1,"-",IF(E25=1,'参数'!$B$10,IF(E25&lt;=5,'参数'!$B$6,IF(E25&lt;=10,'参数'!$B$7,IF(E25&lt;=15,'参数'!$B$8,'参数'!$B$9)))) )</x:f>
        <x:v>2</x:v>
      </x:c>
      <x:c r="G25" s="14" t="n">
        <x:f>IF(A25=1,1,IF(E25=1,G24*'参数'!$B$10,G24*F25))</x:f>
        <x:v>110882433.1692127</x:v>
      </x:c>
      <x:c r="H25" s="14" t="n">
        <x:f>INDEX('参数'!$F$4:$F$8,MATCH(C25,'参数'!$D$4:$D$8,0))</x:f>
        <x:v>180</x:v>
      </x:c>
      <x:c r="I25" s="14" t="n">
        <x:f>G25*H25</x:f>
        <x:v>19958837970.458286</x:v>
      </x:c>
      <x:c r="J25" s="14" t="str">
        <x:f>"第n次 = 基础购买价 × 所属世界增长倍率^(n-1)"</x:f>
        <x:v>第n次 = 基础购买价 × 所属世界增长倍率^(n-1)</x:v>
      </x:c>
      <x:c r="K25" s="14" t="n">
        <x:f>I25*INDEX('参数'!$G$4:$G$8,MATCH(C25,'参数'!$D$4:$D$8,0))^('参数'!$B$5-1)</x:f>
        <x:v>51055444496.279655</x:v>
      </x:c>
      <x:c r="L25" t="str">
        <x:f>INDEX('参数'!$I$4:$I$8,MATCH(C25,'参数'!$H$4:$H$8,0))</x:f>
        <x:v>Lv.1</x:v>
      </x:c>
      <x:c r="M25" t="n">
        <x:f>INDEX('参数'!$J$4:$J$8,MATCH(C25,'参数'!$H$4:$H$8,0))</x:f>
        <x:v>4</x:v>
      </x:c>
      <x:c r="N25" t="n">
        <x:f>IF(A25=1,"-",IF(AND(E25=1,C25&gt;1),MAX((C25-2)*20+1,A25-1-INDEX('参数'!$J$4:$J$8,MATCH(C25-1,'参数'!$H$4:$H$8,0))),MAX((C25-1)*20+1,A25-1-M25)))</x:f>
        <x:v>21</x:v>
      </x:c>
      <x:c r="O25" t="str">
        <x:f>IF(A25=1,"-",INDEX($B$2:$B$101,MATCH(N25,$A$2:$A$101,0)))</x:f>
        <x:v>偷窥羊</x:v>
      </x:c>
      <x:c r="P25" s="16" t="n">
        <x:f>IF(A25=1,0,POWER(2,A25-N25))</x:f>
        <x:v>8</x:v>
      </x:c>
      <x:c r="Q25" s="14" t="n">
        <x:f>IF(A25=1,0,INDEX($I$2:$I$101,MATCH(N25,$A$2:$A$101,0))*(POWER(INDEX('参数'!$G$4:$G$8,MATCH(INDEX($C$2:$C$101,MATCH(N25,$A$2:$A$101,0)),'参数'!$D$4:$D$8,0)),P25)-1)/(INDEX('参数'!$G$4:$G$8,MATCH(INDEX($C$2:$C$101,MATCH(N25,$A$2:$A$101,0)),'参数'!$D$4:$D$8,0))-1))</x:f>
        <x:v>29587565877.42724</x:v>
      </x:c>
      <x:c r="R25" s="14" t="n">
        <x:f>IF(A25=1,0,G24*'参数'!$B$4)</x:f>
        <x:v>4435297.326768508</x:v>
      </x:c>
      <x:c r="S25" s="18" t="n">
        <x:f>IF(A25=1,0,Q25/R25/3600)</x:f>
        <x:v>1.853036604712455</x:v>
      </x:c>
      <x:c r="T25" s="18" t="n">
        <x:f>IF(A25=1,0,SUM($S$2:S25)/24)</x:f>
        <x:v>1.9558644956692637</x:v>
      </x:c>
      <x:c r="U25" t="str">
        <x:f>IF(A25=1,"初始羊",IF(AND(E25=1,C25&gt;1),"跨层解锁：需要上一层最终羊×2",IF(P25&gt;=32,"阶段门槛：建议配合广告/随机羊","常规解锁")))</x:f>
        <x:v>常规解锁</x:v>
      </x:c>
    </x:row>
    <x:row r="26">
      <x:c r="A26" t="n">
        <x:v>25</x:v>
      </x:c>
      <x:c r="B26" t="str">
        <x:v>眼球羊</x:v>
      </x:c>
      <x:c r="C26" t="n">
        <x:f>ROUNDUP(A26/20,0)</x:f>
        <x:v>2</x:v>
      </x:c>
      <x:c r="D26" t="str">
        <x:f>INDEX('参数'!$E$4:$E$8,MATCH(C26,'参数'!$D$4:$D$8,0))</x:f>
        <x:v>奇怪梦境层</x:v>
      </x:c>
      <x:c r="E26" t="n">
        <x:f>MOD(A26-1,20)+1</x:f>
        <x:v>5</x:v>
      </x:c>
      <x:c r="F26" t="n">
        <x:f>IF(A26=1,"-",IF(E26=1,'参数'!$B$10,IF(E26&lt;=5,'参数'!$B$6,IF(E26&lt;=10,'参数'!$B$7,IF(E26&lt;=15,'参数'!$B$8,'参数'!$B$9)))) )</x:f>
        <x:v>2</x:v>
      </x:c>
      <x:c r="G26" s="14" t="n">
        <x:f>IF(A26=1,1,IF(E26=1,G25*'参数'!$B$10,G25*F26))</x:f>
        <x:v>221764866.3384254</x:v>
      </x:c>
      <x:c r="H26" s="14" t="n">
        <x:f>INDEX('参数'!$F$4:$F$8,MATCH(C26,'参数'!$D$4:$D$8,0))</x:f>
        <x:v>180</x:v>
      </x:c>
      <x:c r="I26" s="14" t="n">
        <x:f>G26*H26</x:f>
        <x:v>39917675940.91657</x:v>
      </x:c>
      <x:c r="J26" s="14" t="str">
        <x:f>"第n次 = 基础购买价 × 所属世界增长倍率^(n-1)"</x:f>
        <x:v>第n次 = 基础购买价 × 所属世界增长倍率^(n-1)</x:v>
      </x:c>
      <x:c r="K26" s="14" t="n">
        <x:f>I26*INDEX('参数'!$G$4:$G$8,MATCH(C26,'参数'!$D$4:$D$8,0))^('参数'!$B$5-1)</x:f>
        <x:v>102110888992.55931</x:v>
      </x:c>
      <x:c r="L26" t="str">
        <x:f>INDEX('参数'!$I$4:$I$8,MATCH(C26,'参数'!$H$4:$H$8,0))</x:f>
        <x:v>Lv.1</x:v>
      </x:c>
      <x:c r="M26" t="n">
        <x:f>INDEX('参数'!$J$4:$J$8,MATCH(C26,'参数'!$H$4:$H$8,0))</x:f>
        <x:v>4</x:v>
      </x:c>
      <x:c r="N26" t="n">
        <x:f>IF(A26=1,"-",IF(AND(E26=1,C26&gt;1),MAX((C26-2)*20+1,A26-1-INDEX('参数'!$J$4:$J$8,MATCH(C26-1,'参数'!$H$4:$H$8,0))),MAX((C26-1)*20+1,A26-1-M26)))</x:f>
        <x:v>21</x:v>
      </x:c>
      <x:c r="O26" t="str">
        <x:f>IF(A26=1,"-",INDEX($B$2:$B$101,MATCH(N26,$A$2:$A$101,0)))</x:f>
        <x:v>偷窥羊</x:v>
      </x:c>
      <x:c r="P26" s="16" t="n">
        <x:f>IF(A26=1,0,POWER(2,A26-N26))</x:f>
        <x:v>16</x:v>
      </x:c>
      <x:c r="Q26" s="14" t="n">
        <x:f>IF(A26=1,0,INDEX($I$2:$I$101,MATCH(N26,$A$2:$A$101,0))*(POWER(INDEX('参数'!$G$4:$G$8,MATCH(INDEX($C$2:$C$101,MATCH(N26,$A$2:$A$101,0)),'参数'!$D$4:$D$8,0)),P26)-1)/(INDEX('参数'!$G$4:$G$8,MATCH(INDEX($C$2:$C$101,MATCH(N26,$A$2:$A$101,0)),'参数'!$D$4:$D$8,0))-1))</x:f>
        <x:v>97773228955.96507</x:v>
      </x:c>
      <x:c r="R26" s="14" t="n">
        <x:f>IF(A26=1,0,G25*'参数'!$B$4)</x:f>
        <x:v>8870594.653537016</x:v>
      </x:c>
      <x:c r="S26" s="18" t="n">
        <x:f>IF(A26=1,0,Q26/R26/3600)</x:f>
        <x:v>3.0617147244707565</x:v>
      </x:c>
      <x:c r="T26" s="18" t="n">
        <x:f>IF(A26=1,0,SUM($S$2:S26)/24)</x:f>
        <x:v>2.0834359425222115</x:v>
      </x:c>
      <x:c r="U26" t="str">
        <x:f>IF(A26=1,"初始羊",IF(AND(E26=1,C26&gt;1),"跨层解锁：需要上一层最终羊×2",IF(P26&gt;=32,"阶段门槛：建议配合广告/随机羊","常规解锁")))</x:f>
        <x:v>常规解锁</x:v>
      </x:c>
    </x:row>
    <x:row r="27">
      <x:c r="A27" t="n">
        <x:v>26</x:v>
      </x:c>
      <x:c r="B27" t="str">
        <x:v>信号羊</x:v>
      </x:c>
      <x:c r="C27" t="n">
        <x:f>ROUNDUP(A27/20,0)</x:f>
        <x:v>2</x:v>
      </x:c>
      <x:c r="D27" t="str">
        <x:f>INDEX('参数'!$E$4:$E$8,MATCH(C27,'参数'!$D$4:$D$8,0))</x:f>
        <x:v>奇怪梦境层</x:v>
      </x:c>
      <x:c r="E27" t="n">
        <x:f>MOD(A27-1,20)+1</x:f>
        <x:v>6</x:v>
      </x:c>
      <x:c r="F27" t="n">
        <x:f>IF(A27=1,"-",IF(E27=1,'参数'!$B$10,IF(E27&lt;=5,'参数'!$B$6,IF(E27&lt;=10,'参数'!$B$7,IF(E27&lt;=15,'参数'!$B$8,'参数'!$B$9)))) )</x:f>
        <x:v>2.15</x:v>
      </x:c>
      <x:c r="G27" s="14" t="n">
        <x:f>IF(A27=1,1,IF(E27=1,G26*'参数'!$B$10,G26*F27))</x:f>
        <x:v>476794462.62761456</x:v>
      </x:c>
      <x:c r="H27" s="14" t="n">
        <x:f>INDEX('参数'!$F$4:$F$8,MATCH(C27,'参数'!$D$4:$D$8,0))</x:f>
        <x:v>180</x:v>
      </x:c>
      <x:c r="I27" s="14" t="n">
        <x:f>G27*H27</x:f>
        <x:v>85823003272.97063</x:v>
      </x:c>
      <x:c r="J27" s="14" t="str">
        <x:f>"第n次 = 基础购买价 × 所属世界增长倍率^(n-1)"</x:f>
        <x:v>第n次 = 基础购买价 × 所属世界增长倍率^(n-1)</x:v>
      </x:c>
      <x:c r="K27" s="14" t="n">
        <x:f>I27*INDEX('参数'!$G$4:$G$8,MATCH(C27,'参数'!$D$4:$D$8,0))^('参数'!$B$5-1)</x:f>
        <x:v>219538411334.0025</x:v>
      </x:c>
      <x:c r="L27" t="str">
        <x:f>INDEX('参数'!$I$4:$I$8,MATCH(C27,'参数'!$H$4:$H$8,0))</x:f>
        <x:v>Lv.1</x:v>
      </x:c>
      <x:c r="M27" t="n">
        <x:f>INDEX('参数'!$J$4:$J$8,MATCH(C27,'参数'!$H$4:$H$8,0))</x:f>
        <x:v>4</x:v>
      </x:c>
      <x:c r="N27" t="n">
        <x:f>IF(A27=1,"-",IF(AND(E27=1,C27&gt;1),MAX((C27-2)*20+1,A27-1-INDEX('参数'!$J$4:$J$8,MATCH(C27-1,'参数'!$H$4:$H$8,0))),MAX((C27-1)*20+1,A27-1-M27)))</x:f>
        <x:v>21</x:v>
      </x:c>
      <x:c r="O27" t="str">
        <x:f>IF(A27=1,"-",INDEX($B$2:$B$101,MATCH(N27,$A$2:$A$101,0)))</x:f>
        <x:v>偷窥羊</x:v>
      </x:c>
      <x:c r="P27" s="16" t="n">
        <x:f>IF(A27=1,0,POWER(2,A27-N27))</x:f>
        <x:v>32</x:v>
      </x:c>
      <x:c r="Q27" s="14" t="n">
        <x:f>IF(A27=1,0,INDEX($I$2:$I$101,MATCH(N27,$A$2:$A$101,0))*(POWER(INDEX('参数'!$G$4:$G$8,MATCH(INDEX($C$2:$C$101,MATCH(N27,$A$2:$A$101,0)),'参数'!$D$4:$D$8,0)),P27)-1)/(INDEX('参数'!$G$4:$G$8,MATCH(INDEX($C$2:$C$101,MATCH(N27,$A$2:$A$101,0)),'参数'!$D$4:$D$8,0))-1))</x:f>
        <x:v>617036516444.899</x:v>
      </x:c>
      <x:c r="R27" s="14" t="n">
        <x:f>IF(A27=1,0,G26*'参数'!$B$4)</x:f>
        <x:v>17741189.307074033</x:v>
      </x:c>
      <x:c r="S27" s="18" t="n">
        <x:f>IF(A27=1,0,Q27/R27/3600)</x:f>
        <x:v>9.661079050515655</x:v>
      </x:c>
      <x:c r="T27" s="18" t="n">
        <x:f>IF(A27=1,0,SUM($S$2:S27)/24)</x:f>
        <x:v>2.485980902960364</x:v>
      </x:c>
      <x:c r="U27" t="str">
        <x:f>IF(A27=1,"初始羊",IF(AND(E27=1,C27&gt;1),"跨层解锁：需要上一层最终羊×2",IF(P27&gt;=32,"阶段门槛：建议配合广告/随机羊","常规解锁")))</x:f>
        <x:v>阶段门槛：建议配合广告/随机羊</x:v>
      </x:c>
    </x:row>
    <x:row r="28">
      <x:c r="A28" t="n">
        <x:v>27</x:v>
      </x:c>
      <x:c r="B28" t="str">
        <x:v>果冻羊</x:v>
      </x:c>
      <x:c r="C28" t="n">
        <x:f>ROUNDUP(A28/20,0)</x:f>
        <x:v>2</x:v>
      </x:c>
      <x:c r="D28" t="str">
        <x:f>INDEX('参数'!$E$4:$E$8,MATCH(C28,'参数'!$D$4:$D$8,0))</x:f>
        <x:v>奇怪梦境层</x:v>
      </x:c>
      <x:c r="E28" t="n">
        <x:f>MOD(A28-1,20)+1</x:f>
        <x:v>7</x:v>
      </x:c>
      <x:c r="F28" t="n">
        <x:f>IF(A28=1,"-",IF(E28=1,'参数'!$B$10,IF(E28&lt;=5,'参数'!$B$6,IF(E28&lt;=10,'参数'!$B$7,IF(E28&lt;=15,'参数'!$B$8,'参数'!$B$9)))) )</x:f>
        <x:v>2.15</x:v>
      </x:c>
      <x:c r="G28" s="14" t="n">
        <x:f>IF(A28=1,1,IF(E28=1,G27*'参数'!$B$10,G27*F28))</x:f>
        <x:v>1025108094.6493713</x:v>
      </x:c>
      <x:c r="H28" s="14" t="n">
        <x:f>INDEX('参数'!$F$4:$F$8,MATCH(C28,'参数'!$D$4:$D$8,0))</x:f>
        <x:v>180</x:v>
      </x:c>
      <x:c r="I28" s="14" t="n">
        <x:f>G28*H28</x:f>
        <x:v>184519457036.88684</x:v>
      </x:c>
      <x:c r="J28" s="14" t="str">
        <x:f>"第n次 = 基础购买价 × 所属世界增长倍率^(n-1)"</x:f>
        <x:v>第n次 = 基础购买价 × 所属世界增长倍率^(n-1)</x:v>
      </x:c>
      <x:c r="K28" s="14" t="n">
        <x:f>I28*INDEX('参数'!$G$4:$G$8,MATCH(C28,'参数'!$D$4:$D$8,0))^('参数'!$B$5-1)</x:f>
        <x:v>472007584368.1054</x:v>
      </x:c>
      <x:c r="L28" t="str">
        <x:f>INDEX('参数'!$I$4:$I$8,MATCH(C28,'参数'!$H$4:$H$8,0))</x:f>
        <x:v>Lv.1</x:v>
      </x:c>
      <x:c r="M28" t="n">
        <x:f>INDEX('参数'!$J$4:$J$8,MATCH(C28,'参数'!$H$4:$H$8,0))</x:f>
        <x:v>4</x:v>
      </x:c>
      <x:c r="N28" t="n">
        <x:f>IF(A28=1,"-",IF(AND(E28=1,C28&gt;1),MAX((C28-2)*20+1,A28-1-INDEX('参数'!$J$4:$J$8,MATCH(C28-1,'参数'!$H$4:$H$8,0))),MAX((C28-1)*20+1,A28-1-M28)))</x:f>
        <x:v>22</x:v>
      </x:c>
      <x:c r="O28" t="str">
        <x:f>IF(A28=1,"-",INDEX($B$2:$B$101,MATCH(N28,$A$2:$A$101,0)))</x:f>
        <x:v>梦游羊</x:v>
      </x:c>
      <x:c r="P28" s="16" t="n">
        <x:f>IF(A28=1,0,POWER(2,A28-N28))</x:f>
        <x:v>32</x:v>
      </x:c>
      <x:c r="Q28" s="14" t="n">
        <x:f>IF(A28=1,0,INDEX($I$2:$I$101,MATCH(N28,$A$2:$A$101,0))*(POWER(INDEX('参数'!$G$4:$G$8,MATCH(INDEX($C$2:$C$101,MATCH(N28,$A$2:$A$101,0)),'参数'!$D$4:$D$8,0)),P28)-1)/(INDEX('参数'!$G$4:$G$8,MATCH(INDEX($C$2:$C$101,MATCH(N28,$A$2:$A$101,0)),'参数'!$D$4:$D$8,0))-1))</x:f>
        <x:v>1234073032889.798</x:v>
      </x:c>
      <x:c r="R28" s="14" t="n">
        <x:f>IF(A28=1,0,G27*'参数'!$B$4)</x:f>
        <x:v>38143557.010209166</x:v>
      </x:c>
      <x:c r="S28" s="18" t="n">
        <x:f>IF(A28=1,0,Q28/R28/3600)</x:f>
        <x:v>8.987050279549447</x:v>
      </x:c>
      <x:c r="T28" s="18" t="n">
        <x:f>IF(A28=1,0,SUM($S$2:S28)/24)</x:f>
        <x:v>2.860441331274924</x:v>
      </x:c>
      <x:c r="U28" t="str">
        <x:f>IF(A28=1,"初始羊",IF(AND(E28=1,C28&gt;1),"跨层解锁：需要上一层最终羊×2",IF(P28&gt;=32,"阶段门槛：建议配合广告/随机羊","常规解锁")))</x:f>
        <x:v>阶段门槛：建议配合广告/随机羊</x:v>
      </x:c>
    </x:row>
    <x:row r="29">
      <x:c r="A29" t="n">
        <x:v>28</x:v>
      </x:c>
      <x:c r="B29" t="str">
        <x:v>假笑羊</x:v>
      </x:c>
      <x:c r="C29" t="n">
        <x:f>ROUNDUP(A29/20,0)</x:f>
        <x:v>2</x:v>
      </x:c>
      <x:c r="D29" t="str">
        <x:f>INDEX('参数'!$E$4:$E$8,MATCH(C29,'参数'!$D$4:$D$8,0))</x:f>
        <x:v>奇怪梦境层</x:v>
      </x:c>
      <x:c r="E29" t="n">
        <x:f>MOD(A29-1,20)+1</x:f>
        <x:v>8</x:v>
      </x:c>
      <x:c r="F29" t="n">
        <x:f>IF(A29=1,"-",IF(E29=1,'参数'!$B$10,IF(E29&lt;=5,'参数'!$B$6,IF(E29&lt;=10,'参数'!$B$7,IF(E29&lt;=15,'参数'!$B$8,'参数'!$B$9)))) )</x:f>
        <x:v>2.15</x:v>
      </x:c>
      <x:c r="G29" s="14" t="n">
        <x:f>IF(A29=1,1,IF(E29=1,G28*'参数'!$B$10,G28*F29))</x:f>
        <x:v>2203982403.496148</x:v>
      </x:c>
      <x:c r="H29" s="14" t="n">
        <x:f>INDEX('参数'!$F$4:$F$8,MATCH(C29,'参数'!$D$4:$D$8,0))</x:f>
        <x:v>180</x:v>
      </x:c>
      <x:c r="I29" s="14" t="n">
        <x:f>G29*H29</x:f>
        <x:v>396716832629.30664</x:v>
      </x:c>
      <x:c r="J29" s="14" t="str">
        <x:f>"第n次 = 基础购买价 × 所属世界增长倍率^(n-1)"</x:f>
        <x:v>第n次 = 基础购买价 × 所属世界增长倍率^(n-1)</x:v>
      </x:c>
      <x:c r="K29" s="14" t="n">
        <x:f>I29*INDEX('参数'!$G$4:$G$8,MATCH(C29,'参数'!$D$4:$D$8,0))^('参数'!$B$5-1)</x:f>
        <x:v>1014816306391.4264</x:v>
      </x:c>
      <x:c r="L29" t="str">
        <x:f>INDEX('参数'!$I$4:$I$8,MATCH(C29,'参数'!$H$4:$H$8,0))</x:f>
        <x:v>Lv.1</x:v>
      </x:c>
      <x:c r="M29" t="n">
        <x:f>INDEX('参数'!$J$4:$J$8,MATCH(C29,'参数'!$H$4:$H$8,0))</x:f>
        <x:v>4</x:v>
      </x:c>
      <x:c r="N29" t="n">
        <x:f>IF(A29=1,"-",IF(AND(E29=1,C29&gt;1),MAX((C29-2)*20+1,A29-1-INDEX('参数'!$J$4:$J$8,MATCH(C29-1,'参数'!$H$4:$H$8,0))),MAX((C29-1)*20+1,A29-1-M29)))</x:f>
        <x:v>23</x:v>
      </x:c>
      <x:c r="O29" t="str">
        <x:f>IF(A29=1,"-",INDEX($B$2:$B$101,MATCH(N29,$A$2:$A$101,0)))</x:f>
        <x:v>低语羊</x:v>
      </x:c>
      <x:c r="P29" s="16" t="n">
        <x:f>IF(A29=1,0,POWER(2,A29-N29))</x:f>
        <x:v>32</x:v>
      </x:c>
      <x:c r="Q29" s="14" t="n">
        <x:f>IF(A29=1,0,INDEX($I$2:$I$101,MATCH(N29,$A$2:$A$101,0))*(POWER(INDEX('参数'!$G$4:$G$8,MATCH(INDEX($C$2:$C$101,MATCH(N29,$A$2:$A$101,0)),'参数'!$D$4:$D$8,0)),P29)-1)/(INDEX('参数'!$G$4:$G$8,MATCH(INDEX($C$2:$C$101,MATCH(N29,$A$2:$A$101,0)),'参数'!$D$4:$D$8,0))-1))</x:f>
        <x:v>2468146065779.596</x:v>
      </x:c>
      <x:c r="R29" s="14" t="n">
        <x:f>IF(A29=1,0,G28*'参数'!$B$4)</x:f>
        <x:v>82008647.5719497</x:v>
      </x:c>
      <x:c r="S29" s="18" t="n">
        <x:f>IF(A29=1,0,Q29/R29/3600)</x:f>
        <x:v>8.360046771673904</x:v>
      </x:c>
      <x:c r="T29" s="18" t="n">
        <x:f>IF(A29=1,0,SUM($S$2:S29)/24)</x:f>
        <x:v>3.208776613428004</x:v>
      </x:c>
      <x:c r="U29" t="str">
        <x:f>IF(A29=1,"初始羊",IF(AND(E29=1,C29&gt;1),"跨层解锁：需要上一层最终羊×2",IF(P29&gt;=32,"阶段门槛：建议配合广告/随机羊","常规解锁")))</x:f>
        <x:v>阶段门槛：建议配合广告/随机羊</x:v>
      </x:c>
    </x:row>
    <x:row r="30">
      <x:c r="A30" t="n">
        <x:v>29</x:v>
      </x:c>
      <x:c r="B30" t="str">
        <x:v>录像带羊</x:v>
      </x:c>
      <x:c r="C30" t="n">
        <x:f>ROUNDUP(A30/20,0)</x:f>
        <x:v>2</x:v>
      </x:c>
      <x:c r="D30" t="str">
        <x:f>INDEX('参数'!$E$4:$E$8,MATCH(C30,'参数'!$D$4:$D$8,0))</x:f>
        <x:v>奇怪梦境层</x:v>
      </x:c>
      <x:c r="E30" t="n">
        <x:f>MOD(A30-1,20)+1</x:f>
        <x:v>9</x:v>
      </x:c>
      <x:c r="F30" t="n">
        <x:f>IF(A30=1,"-",IF(E30=1,'参数'!$B$10,IF(E30&lt;=5,'参数'!$B$6,IF(E30&lt;=10,'参数'!$B$7,IF(E30&lt;=15,'参数'!$B$8,'参数'!$B$9)))) )</x:f>
        <x:v>2.15</x:v>
      </x:c>
      <x:c r="G30" s="14" t="n">
        <x:f>IF(A30=1,1,IF(E30=1,G29*'参数'!$B$10,G29*F30))</x:f>
        <x:v>4738562167.516718</x:v>
      </x:c>
      <x:c r="H30" s="14" t="n">
        <x:f>INDEX('参数'!$F$4:$F$8,MATCH(C30,'参数'!$D$4:$D$8,0))</x:f>
        <x:v>180</x:v>
      </x:c>
      <x:c r="I30" s="14" t="n">
        <x:f>G30*H30</x:f>
        <x:v>852941190153.0093</x:v>
      </x:c>
      <x:c r="J30" s="14" t="str">
        <x:f>"第n次 = 基础购买价 × 所属世界增长倍率^(n-1)"</x:f>
        <x:v>第n次 = 基础购买价 × 所属世界增长倍率^(n-1)</x:v>
      </x:c>
      <x:c r="K30" s="14" t="n">
        <x:f>I30*INDEX('参数'!$G$4:$G$8,MATCH(C30,'参数'!$D$4:$D$8,0))^('参数'!$B$5-1)</x:f>
        <x:v>2181855058741.567</x:v>
      </x:c>
      <x:c r="L30" t="str">
        <x:f>INDEX('参数'!$I$4:$I$8,MATCH(C30,'参数'!$H$4:$H$8,0))</x:f>
        <x:v>Lv.1</x:v>
      </x:c>
      <x:c r="M30" t="n">
        <x:f>INDEX('参数'!$J$4:$J$8,MATCH(C30,'参数'!$H$4:$H$8,0))</x:f>
        <x:v>4</x:v>
      </x:c>
      <x:c r="N30" t="n">
        <x:f>IF(A30=1,"-",IF(AND(E30=1,C30&gt;1),MAX((C30-2)*20+1,A30-1-INDEX('参数'!$J$4:$J$8,MATCH(C30-1,'参数'!$H$4:$H$8,0))),MAX((C30-1)*20+1,A30-1-M30)))</x:f>
        <x:v>24</x:v>
      </x:c>
      <x:c r="O30" t="str">
        <x:f>IF(A30=1,"-",INDEX($B$2:$B$101,MATCH(N30,$A$2:$A$101,0)))</x:f>
        <x:v>分裂羊</x:v>
      </x:c>
      <x:c r="P30" s="16" t="n">
        <x:f>IF(A30=1,0,POWER(2,A30-N30))</x:f>
        <x:v>32</x:v>
      </x:c>
      <x:c r="Q30" s="14" t="n">
        <x:f>IF(A30=1,0,INDEX($I$2:$I$101,MATCH(N30,$A$2:$A$101,0))*(POWER(INDEX('参数'!$G$4:$G$8,MATCH(INDEX($C$2:$C$101,MATCH(N30,$A$2:$A$101,0)),'参数'!$D$4:$D$8,0)),P30)-1)/(INDEX('参数'!$G$4:$G$8,MATCH(INDEX($C$2:$C$101,MATCH(N30,$A$2:$A$101,0)),'参数'!$D$4:$D$8,0))-1))</x:f>
        <x:v>4936292131559.192</x:v>
      </x:c>
      <x:c r="R30" s="14" t="n">
        <x:f>IF(A30=1,0,G29*'参数'!$B$4)</x:f>
        <x:v>176318592.27969185</x:v>
      </x:c>
      <x:c r="S30" s="18" t="n">
        <x:f>IF(A30=1,0,Q30/R30/3600)</x:f>
        <x:v>7.776787694580378</x:v>
      </x:c>
      <x:c r="T30" s="18" t="n">
        <x:f>IF(A30=1,0,SUM($S$2:S30)/24)</x:f>
        <x:v>3.5328094340355194</x:v>
      </x:c>
      <x:c r="U30" t="str">
        <x:f>IF(A30=1,"初始羊",IF(AND(E30=1,C30&gt;1),"跨层解锁：需要上一层最终羊×2",IF(P30&gt;=32,"阶段门槛：建议配合广告/随机羊","常规解锁")))</x:f>
        <x:v>阶段门槛：建议配合广告/随机羊</x:v>
      </x:c>
    </x:row>
    <x:row r="31">
      <x:c r="A31" t="n">
        <x:v>30</x:v>
      </x:c>
      <x:c r="B31" t="str">
        <x:v>404神游羊</x:v>
      </x:c>
      <x:c r="C31" t="n">
        <x:f>ROUNDUP(A31/20,0)</x:f>
        <x:v>2</x:v>
      </x:c>
      <x:c r="D31" t="str">
        <x:f>INDEX('参数'!$E$4:$E$8,MATCH(C31,'参数'!$D$4:$D$8,0))</x:f>
        <x:v>奇怪梦境层</x:v>
      </x:c>
      <x:c r="E31" t="n">
        <x:f>MOD(A31-1,20)+1</x:f>
        <x:v>10</x:v>
      </x:c>
      <x:c r="F31" t="n">
        <x:f>IF(A31=1,"-",IF(E31=1,'参数'!$B$10,IF(E31&lt;=5,'参数'!$B$6,IF(E31&lt;=10,'参数'!$B$7,IF(E31&lt;=15,'参数'!$B$8,'参数'!$B$9)))) )</x:f>
        <x:v>2.15</x:v>
      </x:c>
      <x:c r="G31" s="14" t="n">
        <x:f>IF(A31=1,1,IF(E31=1,G30*'参数'!$B$10,G30*F31))</x:f>
        <x:v>10187908660.160944</x:v>
      </x:c>
      <x:c r="H31" s="14" t="n">
        <x:f>INDEX('参数'!$F$4:$F$8,MATCH(C31,'参数'!$D$4:$D$8,0))</x:f>
        <x:v>180</x:v>
      </x:c>
      <x:c r="I31" s="14" t="n">
        <x:f>G31*H31</x:f>
        <x:v>1833823558828.97</x:v>
      </x:c>
      <x:c r="J31" s="14" t="str">
        <x:f>"第n次 = 基础购买价 × 所属世界增长倍率^(n-1)"</x:f>
        <x:v>第n次 = 基础购买价 × 所属世界增长倍率^(n-1)</x:v>
      </x:c>
      <x:c r="K31" s="14" t="n">
        <x:f>I31*INDEX('参数'!$G$4:$G$8,MATCH(C31,'参数'!$D$4:$D$8,0))^('参数'!$B$5-1)</x:f>
        <x:v>4690988376294.368</x:v>
      </x:c>
      <x:c r="L31" t="str">
        <x:f>INDEX('参数'!$I$4:$I$8,MATCH(C31,'参数'!$H$4:$H$8,0))</x:f>
        <x:v>Lv.1</x:v>
      </x:c>
      <x:c r="M31" t="n">
        <x:f>INDEX('参数'!$J$4:$J$8,MATCH(C31,'参数'!$H$4:$H$8,0))</x:f>
        <x:v>4</x:v>
      </x:c>
      <x:c r="N31" t="n">
        <x:f>IF(A31=1,"-",IF(AND(E31=1,C31&gt;1),MAX((C31-2)*20+1,A31-1-INDEX('参数'!$J$4:$J$8,MATCH(C31-1,'参数'!$H$4:$H$8,0))),MAX((C31-1)*20+1,A31-1-M31)))</x:f>
        <x:v>25</x:v>
      </x:c>
      <x:c r="O31" t="str">
        <x:f>IF(A31=1,"-",INDEX($B$2:$B$101,MATCH(N31,$A$2:$A$101,0)))</x:f>
        <x:v>眼球羊</x:v>
      </x:c>
      <x:c r="P31" s="16" t="n">
        <x:f>IF(A31=1,0,POWER(2,A31-N31))</x:f>
        <x:v>32</x:v>
      </x:c>
      <x:c r="Q31" s="14" t="n">
        <x:f>IF(A31=1,0,INDEX($I$2:$I$101,MATCH(N31,$A$2:$A$101,0))*(POWER(INDEX('参数'!$G$4:$G$8,MATCH(INDEX($C$2:$C$101,MATCH(N31,$A$2:$A$101,0)),'参数'!$D$4:$D$8,0)),P31)-1)/(INDEX('参数'!$G$4:$G$8,MATCH(INDEX($C$2:$C$101,MATCH(N31,$A$2:$A$101,0)),'参数'!$D$4:$D$8,0))-1))</x:f>
        <x:v>9872584263118.385</x:v>
      </x:c>
      <x:c r="R31" s="14" t="n">
        <x:f>IF(A31=1,0,G30*'参数'!$B$4)</x:f>
        <x:v>379084973.40133744</x:v>
      </x:c>
      <x:c r="S31" s="18" t="n">
        <x:f>IF(A31=1,0,Q31/R31/3600)</x:f>
        <x:v>7.234221111237561</x:v>
      </x:c>
      <x:c r="T31" s="18" t="n">
        <x:f>IF(A31=1,0,SUM($S$2:S31)/24)</x:f>
        <x:v>3.8342353136704177</x:v>
      </x:c>
      <x:c r="U31" t="str">
        <x:f>IF(A31=1,"初始羊",IF(AND(E31=1,C31&gt;1),"跨层解锁：需要上一层最终羊×2",IF(P31&gt;=32,"阶段门槛：建议配合广告/随机羊","常规解锁")))</x:f>
        <x:v>阶段门槛：建议配合广告/随机羊</x:v>
      </x:c>
    </x:row>
    <x:row r="32">
      <x:c r="A32" t="n">
        <x:v>31</x:v>
      </x:c>
      <x:c r="B32" t="str">
        <x:v>漂漂羊</x:v>
      </x:c>
      <x:c r="C32" t="n">
        <x:f>ROUNDUP(A32/20,0)</x:f>
        <x:v>2</x:v>
      </x:c>
      <x:c r="D32" t="str">
        <x:f>INDEX('参数'!$E$4:$E$8,MATCH(C32,'参数'!$D$4:$D$8,0))</x:f>
        <x:v>奇怪梦境层</x:v>
      </x:c>
      <x:c r="E32" t="n">
        <x:f>MOD(A32-1,20)+1</x:f>
        <x:v>11</x:v>
      </x:c>
      <x:c r="F32" t="n">
        <x:f>IF(A32=1,"-",IF(E32=1,'参数'!$B$10,IF(E32&lt;=5,'参数'!$B$6,IF(E32&lt;=10,'参数'!$B$7,IF(E32&lt;=15,'参数'!$B$8,'参数'!$B$9)))) )</x:f>
        <x:v>2.3</x:v>
      </x:c>
      <x:c r="G32" s="14" t="n">
        <x:f>IF(A32=1,1,IF(E32=1,G31*'参数'!$B$10,G31*F32))</x:f>
        <x:v>23432189918.37017</x:v>
      </x:c>
      <x:c r="H32" s="14" t="n">
        <x:f>INDEX('参数'!$F$4:$F$8,MATCH(C32,'参数'!$D$4:$D$8,0))</x:f>
        <x:v>180</x:v>
      </x:c>
      <x:c r="I32" s="14" t="n">
        <x:f>G32*H32</x:f>
        <x:v>4217794185306.631</x:v>
      </x:c>
      <x:c r="J32" s="14" t="str">
        <x:f>"第n次 = 基础购买价 × 所属世界增长倍率^(n-1)"</x:f>
        <x:v>第n次 = 基础购买价 × 所属世界增长倍率^(n-1)</x:v>
      </x:c>
      <x:c r="K32" s="14" t="n">
        <x:f>I32*INDEX('参数'!$G$4:$G$8,MATCH(C32,'参数'!$D$4:$D$8,0))^('参数'!$B$5-1)</x:f>
        <x:v>10789273265477.047</x:v>
      </x:c>
      <x:c r="L32" t="str">
        <x:f>INDEX('参数'!$I$4:$I$8,MATCH(C32,'参数'!$H$4:$H$8,0))</x:f>
        <x:v>Lv.1</x:v>
      </x:c>
      <x:c r="M32" t="n">
        <x:f>INDEX('参数'!$J$4:$J$8,MATCH(C32,'参数'!$H$4:$H$8,0))</x:f>
        <x:v>4</x:v>
      </x:c>
      <x:c r="N32" t="n">
        <x:f>IF(A32=1,"-",IF(AND(E32=1,C32&gt;1),MAX((C32-2)*20+1,A32-1-INDEX('参数'!$J$4:$J$8,MATCH(C32-1,'参数'!$H$4:$H$8,0))),MAX((C32-1)*20+1,A32-1-M32)))</x:f>
        <x:v>26</x:v>
      </x:c>
      <x:c r="O32" t="str">
        <x:f>IF(A32=1,"-",INDEX($B$2:$B$101,MATCH(N32,$A$2:$A$101,0)))</x:f>
        <x:v>信号羊</x:v>
      </x:c>
      <x:c r="P32" s="16" t="n">
        <x:f>IF(A32=1,0,POWER(2,A32-N32))</x:f>
        <x:v>32</x:v>
      </x:c>
      <x:c r="Q32" s="14" t="n">
        <x:f>IF(A32=1,0,INDEX($I$2:$I$101,MATCH(N32,$A$2:$A$101,0))*(POWER(INDEX('参数'!$G$4:$G$8,MATCH(INDEX($C$2:$C$101,MATCH(N32,$A$2:$A$101,0)),'参数'!$D$4:$D$8,0)),P32)-1)/(INDEX('参数'!$G$4:$G$8,MATCH(INDEX($C$2:$C$101,MATCH(N32,$A$2:$A$101,0)),'参数'!$D$4:$D$8,0))-1))</x:f>
        <x:v>21226056165704.527</x:v>
      </x:c>
      <x:c r="R32" s="14" t="n">
        <x:f>IF(A32=1,0,G31*'参数'!$B$4)</x:f>
        <x:v>815032692.8128755</x:v>
      </x:c>
      <x:c r="S32" s="18" t="n">
        <x:f>IF(A32=1,0,Q32/R32/3600)</x:f>
        <x:v>7.234221111237561</x:v>
      </x:c>
      <x:c r="T32" s="18" t="n">
        <x:f>IF(A32=1,0,SUM($S$2:S32)/24)</x:f>
        <x:v>4.1356611933053165</x:v>
      </x:c>
      <x:c r="U32" t="str">
        <x:f>IF(A32=1,"初始羊",IF(AND(E32=1,C32&gt;1),"跨层解锁：需要上一层最终羊×2",IF(P32&gt;=32,"阶段门槛：建议配合广告/随机羊","常规解锁")))</x:f>
        <x:v>阶段门槛：建议配合广告/随机羊</x:v>
      </x:c>
    </x:row>
    <x:row r="33">
      <x:c r="A33" t="n">
        <x:v>32</x:v>
      </x:c>
      <x:c r="B33" t="str">
        <x:v>云朵羊</x:v>
      </x:c>
      <x:c r="C33" t="n">
        <x:f>ROUNDUP(A33/20,0)</x:f>
        <x:v>2</x:v>
      </x:c>
      <x:c r="D33" t="str">
        <x:f>INDEX('参数'!$E$4:$E$8,MATCH(C33,'参数'!$D$4:$D$8,0))</x:f>
        <x:v>奇怪梦境层</x:v>
      </x:c>
      <x:c r="E33" t="n">
        <x:f>MOD(A33-1,20)+1</x:f>
        <x:v>12</x:v>
      </x:c>
      <x:c r="F33" t="n">
        <x:f>IF(A33=1,"-",IF(E33=1,'参数'!$B$10,IF(E33&lt;=5,'参数'!$B$6,IF(E33&lt;=10,'参数'!$B$7,IF(E33&lt;=15,'参数'!$B$8,'参数'!$B$9)))) )</x:f>
        <x:v>2.3</x:v>
      </x:c>
      <x:c r="G33" s="14" t="n">
        <x:f>IF(A33=1,1,IF(E33=1,G32*'参数'!$B$10,G32*F33))</x:f>
        <x:v>53894036812.25139</x:v>
      </x:c>
      <x:c r="H33" s="14" t="n">
        <x:f>INDEX('参数'!$F$4:$F$8,MATCH(C33,'参数'!$D$4:$D$8,0))</x:f>
        <x:v>180</x:v>
      </x:c>
      <x:c r="I33" s="14" t="n">
        <x:f>G33*H33</x:f>
        <x:v>9700926626205.25</x:v>
      </x:c>
      <x:c r="J33" s="14" t="str">
        <x:f>"第n次 = 基础购买价 × 所属世界增长倍率^(n-1)"</x:f>
        <x:v>第n次 = 基础购买价 × 所属世界增长倍率^(n-1)</x:v>
      </x:c>
      <x:c r="K33" s="14" t="n">
        <x:f>I33*INDEX('参数'!$G$4:$G$8,MATCH(C33,'参数'!$D$4:$D$8,0))^('参数'!$B$5-1)</x:f>
        <x:v>24815328510597.207</x:v>
      </x:c>
      <x:c r="L33" t="str">
        <x:f>INDEX('参数'!$I$4:$I$8,MATCH(C33,'参数'!$H$4:$H$8,0))</x:f>
        <x:v>Lv.1</x:v>
      </x:c>
      <x:c r="M33" t="n">
        <x:f>INDEX('参数'!$J$4:$J$8,MATCH(C33,'参数'!$H$4:$H$8,0))</x:f>
        <x:v>4</x:v>
      </x:c>
      <x:c r="N33" t="n">
        <x:f>IF(A33=1,"-",IF(AND(E33=1,C33&gt;1),MAX((C33-2)*20+1,A33-1-INDEX('参数'!$J$4:$J$8,MATCH(C33-1,'参数'!$H$4:$H$8,0))),MAX((C33-1)*20+1,A33-1-M33)))</x:f>
        <x:v>27</x:v>
      </x:c>
      <x:c r="O33" t="str">
        <x:f>IF(A33=1,"-",INDEX($B$2:$B$101,MATCH(N33,$A$2:$A$101,0)))</x:f>
        <x:v>果冻羊</x:v>
      </x:c>
      <x:c r="P33" s="16" t="n">
        <x:f>IF(A33=1,0,POWER(2,A33-N33))</x:f>
        <x:v>32</x:v>
      </x:c>
      <x:c r="Q33" s="14" t="n">
        <x:f>IF(A33=1,0,INDEX($I$2:$I$101,MATCH(N33,$A$2:$A$101,0))*(POWER(INDEX('参数'!$G$4:$G$8,MATCH(INDEX($C$2:$C$101,MATCH(N33,$A$2:$A$101,0)),'参数'!$D$4:$D$8,0)),P33)-1)/(INDEX('参数'!$G$4:$G$8,MATCH(INDEX($C$2:$C$101,MATCH(N33,$A$2:$A$101,0)),'参数'!$D$4:$D$8,0))-1))</x:f>
        <x:v>45636020756264.734</x:v>
      </x:c>
      <x:c r="R33" s="14" t="n">
        <x:f>IF(A33=1,0,G32*'参数'!$B$4)</x:f>
        <x:v>1874575193.4696138</x:v>
      </x:c>
      <x:c r="S33" s="18" t="n">
        <x:f>IF(A33=1,0,Q33/R33/3600)</x:f>
        <x:v>6.762424082243807</x:v>
      </x:c>
      <x:c r="T33" s="18" t="n">
        <x:f>IF(A33=1,0,SUM($S$2:S33)/24)</x:f>
        <x:v>4.417428863398809</x:v>
      </x:c>
      <x:c r="U33" t="str">
        <x:f>IF(A33=1,"初始羊",IF(AND(E33=1,C33&gt;1),"跨层解锁：需要上一层最终羊×2",IF(P33&gt;=32,"阶段门槛：建议配合广告/随机羊","常规解锁")))</x:f>
        <x:v>阶段门槛：建议配合广告/随机羊</x:v>
      </x:c>
    </x:row>
    <x:row r="34">
      <x:c r="A34" t="n">
        <x:v>33</x:v>
      </x:c>
      <x:c r="B34" t="str">
        <x:v>黑眼羊</x:v>
      </x:c>
      <x:c r="C34" t="n">
        <x:f>ROUNDUP(A34/20,0)</x:f>
        <x:v>2</x:v>
      </x:c>
      <x:c r="D34" t="str">
        <x:f>INDEX('参数'!$E$4:$E$8,MATCH(C34,'参数'!$D$4:$D$8,0))</x:f>
        <x:v>奇怪梦境层</x:v>
      </x:c>
      <x:c r="E34" t="n">
        <x:f>MOD(A34-1,20)+1</x:f>
        <x:v>13</x:v>
      </x:c>
      <x:c r="F34" t="n">
        <x:f>IF(A34=1,"-",IF(E34=1,'参数'!$B$10,IF(E34&lt;=5,'参数'!$B$6,IF(E34&lt;=10,'参数'!$B$7,IF(E34&lt;=15,'参数'!$B$8,'参数'!$B$9)))) )</x:f>
        <x:v>2.3</x:v>
      </x:c>
      <x:c r="G34" s="14" t="n">
        <x:f>IF(A34=1,1,IF(E34=1,G33*'参数'!$B$10,G33*F34))</x:f>
        <x:v>123956284668.17818</x:v>
      </x:c>
      <x:c r="H34" s="14" t="n">
        <x:f>INDEX('参数'!$F$4:$F$8,MATCH(C34,'参数'!$D$4:$D$8,0))</x:f>
        <x:v>180</x:v>
      </x:c>
      <x:c r="I34" s="14" t="n">
        <x:f>G34*H34</x:f>
        <x:v>22312131240272.07</x:v>
      </x:c>
      <x:c r="J34" s="14" t="str">
        <x:f>"第n次 = 基础购买价 × 所属世界增长倍率^(n-1)"</x:f>
        <x:v>第n次 = 基础购买价 × 所属世界增长倍率^(n-1)</x:v>
      </x:c>
      <x:c r="K34" s="14" t="n">
        <x:f>I34*INDEX('参数'!$G$4:$G$8,MATCH(C34,'参数'!$D$4:$D$8,0))^('参数'!$B$5-1)</x:f>
        <x:v>57075255574373.56</x:v>
      </x:c>
      <x:c r="L34" t="str">
        <x:f>INDEX('参数'!$I$4:$I$8,MATCH(C34,'参数'!$H$4:$H$8,0))</x:f>
        <x:v>Lv.1</x:v>
      </x:c>
      <x:c r="M34" t="n">
        <x:f>INDEX('参数'!$J$4:$J$8,MATCH(C34,'参数'!$H$4:$H$8,0))</x:f>
        <x:v>4</x:v>
      </x:c>
      <x:c r="N34" t="n">
        <x:f>IF(A34=1,"-",IF(AND(E34=1,C34&gt;1),MAX((C34-2)*20+1,A34-1-INDEX('参数'!$J$4:$J$8,MATCH(C34-1,'参数'!$H$4:$H$8,0))),MAX((C34-1)*20+1,A34-1-M34)))</x:f>
        <x:v>28</x:v>
      </x:c>
      <x:c r="O34" t="str">
        <x:f>IF(A34=1,"-",INDEX($B$2:$B$101,MATCH(N34,$A$2:$A$101,0)))</x:f>
        <x:v>假笑羊</x:v>
      </x:c>
      <x:c r="P34" s="16" t="n">
        <x:f>IF(A34=1,0,POWER(2,A34-N34))</x:f>
        <x:v>32</x:v>
      </x:c>
      <x:c r="Q34" s="14" t="n">
        <x:f>IF(A34=1,0,INDEX($I$2:$I$101,MATCH(N34,$A$2:$A$101,0))*(POWER(INDEX('参数'!$G$4:$G$8,MATCH(INDEX($C$2:$C$101,MATCH(N34,$A$2:$A$101,0)),'参数'!$D$4:$D$8,0)),P34)-1)/(INDEX('参数'!$G$4:$G$8,MATCH(INDEX($C$2:$C$101,MATCH(N34,$A$2:$A$101,0)),'参数'!$D$4:$D$8,0))-1))</x:f>
        <x:v>98117444625969.16</x:v>
      </x:c>
      <x:c r="R34" s="14" t="n">
        <x:f>IF(A34=1,0,G33*'参数'!$B$4)</x:f>
        <x:v>4311522944.980111</x:v>
      </x:c>
      <x:c r="S34" s="18" t="n">
        <x:f>IF(A34=1,0,Q34/R34/3600)</x:f>
        <x:v>6.321396424706166</x:v>
      </x:c>
      <x:c r="T34" s="18" t="n">
        <x:f>IF(A34=1,0,SUM($S$2:S34)/24)</x:f>
        <x:v>4.6808203810948985</x:v>
      </x:c>
      <x:c r="U34" t="str">
        <x:f>IF(A34=1,"初始羊",IF(AND(E34=1,C34&gt;1),"跨层解锁：需要上一层最终羊×2",IF(P34&gt;=32,"阶段门槛：建议配合广告/随机羊","常规解锁")))</x:f>
        <x:v>阶段门槛：建议配合广告/随机羊</x:v>
      </x:c>
    </x:row>
    <x:row r="35">
      <x:c r="A35" t="n">
        <x:v>34</x:v>
      </x:c>
      <x:c r="B35" t="str">
        <x:v>噪音羊</x:v>
      </x:c>
      <x:c r="C35" t="n">
        <x:f>ROUNDUP(A35/20,0)</x:f>
        <x:v>2</x:v>
      </x:c>
      <x:c r="D35" t="str">
        <x:f>INDEX('参数'!$E$4:$E$8,MATCH(C35,'参数'!$D$4:$D$8,0))</x:f>
        <x:v>奇怪梦境层</x:v>
      </x:c>
      <x:c r="E35" t="n">
        <x:f>MOD(A35-1,20)+1</x:f>
        <x:v>14</x:v>
      </x:c>
      <x:c r="F35" t="n">
        <x:f>IF(A35=1,"-",IF(E35=1,'参数'!$B$10,IF(E35&lt;=5,'参数'!$B$6,IF(E35&lt;=10,'参数'!$B$7,IF(E35&lt;=15,'参数'!$B$8,'参数'!$B$9)))) )</x:f>
        <x:v>2.3</x:v>
      </x:c>
      <x:c r="G35" s="14" t="n">
        <x:f>IF(A35=1,1,IF(E35=1,G34*'参数'!$B$10,G34*F35))</x:f>
        <x:v>285099454736.8098</x:v>
      </x:c>
      <x:c r="H35" s="14" t="n">
        <x:f>INDEX('参数'!$F$4:$F$8,MATCH(C35,'参数'!$D$4:$D$8,0))</x:f>
        <x:v>180</x:v>
      </x:c>
      <x:c r="I35" s="14" t="n">
        <x:f>G35*H35</x:f>
        <x:v>51317901852625.766</x:v>
      </x:c>
      <x:c r="J35" s="14" t="str">
        <x:f>"第n次 = 基础购买价 × 所属世界增长倍率^(n-1)"</x:f>
        <x:v>第n次 = 基础购买价 × 所属世界增长倍率^(n-1)</x:v>
      </x:c>
      <x:c r="K35" s="14" t="n">
        <x:f>I35*INDEX('参数'!$G$4:$G$8,MATCH(C35,'参数'!$D$4:$D$8,0))^('参数'!$B$5-1)</x:f>
        <x:v>131273087821059.2</x:v>
      </x:c>
      <x:c r="L35" t="str">
        <x:f>INDEX('参数'!$I$4:$I$8,MATCH(C35,'参数'!$H$4:$H$8,0))</x:f>
        <x:v>Lv.1</x:v>
      </x:c>
      <x:c r="M35" t="n">
        <x:f>INDEX('参数'!$J$4:$J$8,MATCH(C35,'参数'!$H$4:$H$8,0))</x:f>
        <x:v>4</x:v>
      </x:c>
      <x:c r="N35" t="n">
        <x:f>IF(A35=1,"-",IF(AND(E35=1,C35&gt;1),MAX((C35-2)*20+1,A35-1-INDEX('参数'!$J$4:$J$8,MATCH(C35-1,'参数'!$H$4:$H$8,0))),MAX((C35-1)*20+1,A35-1-M35)))</x:f>
        <x:v>29</x:v>
      </x:c>
      <x:c r="O35" t="str">
        <x:f>IF(A35=1,"-",INDEX($B$2:$B$101,MATCH(N35,$A$2:$A$101,0)))</x:f>
        <x:v>录像带羊</x:v>
      </x:c>
      <x:c r="P35" s="16" t="n">
        <x:f>IF(A35=1,0,POWER(2,A35-N35))</x:f>
        <x:v>32</x:v>
      </x:c>
      <x:c r="Q35" s="14" t="n">
        <x:f>IF(A35=1,0,INDEX($I$2:$I$101,MATCH(N35,$A$2:$A$101,0))*(POWER(INDEX('参数'!$G$4:$G$8,MATCH(INDEX($C$2:$C$101,MATCH(N35,$A$2:$A$101,0)),'参数'!$D$4:$D$8,0)),P35)-1)/(INDEX('参数'!$G$4:$G$8,MATCH(INDEX($C$2:$C$101,MATCH(N35,$A$2:$A$101,0)),'参数'!$D$4:$D$8,0))-1))</x:f>
        <x:v>210952505945833.7</x:v>
      </x:c>
      <x:c r="R35" s="14" t="n">
        <x:f>IF(A35=1,0,G34*'参数'!$B$4)</x:f>
        <x:v>9916502773.454254</x:v>
      </x:c>
      <x:c r="S35" s="18" t="n">
        <x:f>IF(A35=1,0,Q35/R35/3600)</x:f>
        <x:v>5.9091314404862</x:v>
      </x:c>
      <x:c r="T35" s="18" t="n">
        <x:f>IF(A35=1,0,SUM($S$2:S35)/24)</x:f>
        <x:v>4.927034191115157</x:v>
      </x:c>
      <x:c r="U35" t="str">
        <x:f>IF(A35=1,"初始羊",IF(AND(E35=1,C35&gt;1),"跨层解锁：需要上一层最终羊×2",IF(P35&gt;=32,"阶段门槛：建议配合广告/随机羊","常规解锁")))</x:f>
        <x:v>阶段门槛：建议配合广告/随机羊</x:v>
      </x:c>
    </x:row>
    <x:row r="36">
      <x:c r="A36" t="n">
        <x:v>35</x:v>
      </x:c>
      <x:c r="B36" t="str">
        <x:v>镜像羊</x:v>
      </x:c>
      <x:c r="C36" t="n">
        <x:f>ROUNDUP(A36/20,0)</x:f>
        <x:v>2</x:v>
      </x:c>
      <x:c r="D36" t="str">
        <x:f>INDEX('参数'!$E$4:$E$8,MATCH(C36,'参数'!$D$4:$D$8,0))</x:f>
        <x:v>奇怪梦境层</x:v>
      </x:c>
      <x:c r="E36" t="n">
        <x:f>MOD(A36-1,20)+1</x:f>
        <x:v>15</x:v>
      </x:c>
      <x:c r="F36" t="n">
        <x:f>IF(A36=1,"-",IF(E36=1,'参数'!$B$10,IF(E36&lt;=5,'参数'!$B$6,IF(E36&lt;=10,'参数'!$B$7,IF(E36&lt;=15,'参数'!$B$8,'参数'!$B$9)))) )</x:f>
        <x:v>2.3</x:v>
      </x:c>
      <x:c r="G36" s="14" t="n">
        <x:f>IF(A36=1,1,IF(E36=1,G35*'参数'!$B$10,G35*F36))</x:f>
        <x:v>655728745894.6625</x:v>
      </x:c>
      <x:c r="H36" s="14" t="n">
        <x:f>INDEX('参数'!$F$4:$F$8,MATCH(C36,'参数'!$D$4:$D$8,0))</x:f>
        <x:v>180</x:v>
      </x:c>
      <x:c r="I36" s="14" t="n">
        <x:f>G36*H36</x:f>
        <x:v>118031174261039.25</x:v>
      </x:c>
      <x:c r="J36" s="14" t="str">
        <x:f>"第n次 = 基础购买价 × 所属世界增长倍率^(n-1)"</x:f>
        <x:v>第n次 = 基础购买价 × 所属世界增长倍率^(n-1)</x:v>
      </x:c>
      <x:c r="K36" s="14" t="n">
        <x:f>I36*INDEX('参数'!$G$4:$G$8,MATCH(C36,'参数'!$D$4:$D$8,0))^('参数'!$B$5-1)</x:f>
        <x:v>301928101988436.1</x:v>
      </x:c>
      <x:c r="L36" t="str">
        <x:f>INDEX('参数'!$I$4:$I$8,MATCH(C36,'参数'!$H$4:$H$8,0))</x:f>
        <x:v>Lv.1</x:v>
      </x:c>
      <x:c r="M36" t="n">
        <x:f>INDEX('参数'!$J$4:$J$8,MATCH(C36,'参数'!$H$4:$H$8,0))</x:f>
        <x:v>4</x:v>
      </x:c>
      <x:c r="N36" t="n">
        <x:f>IF(A36=1,"-",IF(AND(E36=1,C36&gt;1),MAX((C36-2)*20+1,A36-1-INDEX('参数'!$J$4:$J$8,MATCH(C36-1,'参数'!$H$4:$H$8,0))),MAX((C36-1)*20+1,A36-1-M36)))</x:f>
        <x:v>30</x:v>
      </x:c>
      <x:c r="O36" t="str">
        <x:f>IF(A36=1,"-",INDEX($B$2:$B$101,MATCH(N36,$A$2:$A$101,0)))</x:f>
        <x:v>404神游羊</x:v>
      </x:c>
      <x:c r="P36" s="16" t="n">
        <x:f>IF(A36=1,0,POWER(2,A36-N36))</x:f>
        <x:v>32</x:v>
      </x:c>
      <x:c r="Q36" s="14" t="n">
        <x:f>IF(A36=1,0,INDEX($I$2:$I$101,MATCH(N36,$A$2:$A$101,0))*(POWER(INDEX('参数'!$G$4:$G$8,MATCH(INDEX($C$2:$C$101,MATCH(N36,$A$2:$A$101,0)),'参数'!$D$4:$D$8,0)),P36)-1)/(INDEX('参数'!$G$4:$G$8,MATCH(INDEX($C$2:$C$101,MATCH(N36,$A$2:$A$101,0)),'参数'!$D$4:$D$8,0))-1))</x:f>
        <x:v>453547887783542.44</x:v>
      </x:c>
      <x:c r="R36" s="14" t="n">
        <x:f>IF(A36=1,0,G35*'参数'!$B$4)</x:f>
        <x:v>22807956378.944786</x:v>
      </x:c>
      <x:c r="S36" s="18" t="n">
        <x:f>IF(A36=1,0,Q36/R36/3600)</x:f>
        <x:v>5.523753303063187</x:v>
      </x:c>
      <x:c r="T36" s="18" t="n">
        <x:f>IF(A36=1,0,SUM($S$2:S36)/24)</x:f>
        <x:v>5.15719057874279</x:v>
      </x:c>
      <x:c r="U36" t="str">
        <x:f>IF(A36=1,"初始羊",IF(AND(E36=1,C36&gt;1),"跨层解锁：需要上一层最终羊×2",IF(P36&gt;=32,"阶段门槛：建议配合广告/随机羊","常规解锁")))</x:f>
        <x:v>阶段门槛：建议配合广告/随机羊</x:v>
      </x:c>
    </x:row>
    <x:row r="37">
      <x:c r="A37" t="n">
        <x:v>36</x:v>
      </x:c>
      <x:c r="B37" t="str">
        <x:v>深夜羊</x:v>
      </x:c>
      <x:c r="C37" t="n">
        <x:f>ROUNDUP(A37/20,0)</x:f>
        <x:v>2</x:v>
      </x:c>
      <x:c r="D37" t="str">
        <x:f>INDEX('参数'!$E$4:$E$8,MATCH(C37,'参数'!$D$4:$D$8,0))</x:f>
        <x:v>奇怪梦境层</x:v>
      </x:c>
      <x:c r="E37" t="n">
        <x:f>MOD(A37-1,20)+1</x:f>
        <x:v>16</x:v>
      </x:c>
      <x:c r="F37" t="n">
        <x:f>IF(A37=1,"-",IF(E37=1,'参数'!$B$10,IF(E37&lt;=5,'参数'!$B$6,IF(E37&lt;=10,'参数'!$B$7,IF(E37&lt;=15,'参数'!$B$8,'参数'!$B$9)))) )</x:f>
        <x:v>2.5</x:v>
      </x:c>
      <x:c r="G37" s="14" t="n">
        <x:f>IF(A37=1,1,IF(E37=1,G36*'参数'!$B$10,G36*F37))</x:f>
        <x:v>1639321864736.6562</x:v>
      </x:c>
      <x:c r="H37" s="14" t="n">
        <x:f>INDEX('参数'!$F$4:$F$8,MATCH(C37,'参数'!$D$4:$D$8,0))</x:f>
        <x:v>180</x:v>
      </x:c>
      <x:c r="I37" s="14" t="n">
        <x:f>G37*H37</x:f>
        <x:v>295077935652598.1</x:v>
      </x:c>
      <x:c r="J37" s="14" t="str">
        <x:f>"第n次 = 基础购买价 × 所属世界增长倍率^(n-1)"</x:f>
        <x:v>第n次 = 基础购买价 × 所属世界增长倍率^(n-1)</x:v>
      </x:c>
      <x:c r="K37" s="14" t="n">
        <x:f>I37*INDEX('参数'!$G$4:$G$8,MATCH(C37,'参数'!$D$4:$D$8,0))^('参数'!$B$5-1)</x:f>
        <x:v>754820254971090.4</x:v>
      </x:c>
      <x:c r="L37" t="str">
        <x:f>INDEX('参数'!$I$4:$I$8,MATCH(C37,'参数'!$H$4:$H$8,0))</x:f>
        <x:v>Lv.1</x:v>
      </x:c>
      <x:c r="M37" t="n">
        <x:f>INDEX('参数'!$J$4:$J$8,MATCH(C37,'参数'!$H$4:$H$8,0))</x:f>
        <x:v>4</x:v>
      </x:c>
      <x:c r="N37" t="n">
        <x:f>IF(A37=1,"-",IF(AND(E37=1,C37&gt;1),MAX((C37-2)*20+1,A37-1-INDEX('参数'!$J$4:$J$8,MATCH(C37-1,'参数'!$H$4:$H$8,0))),MAX((C37-1)*20+1,A37-1-M37)))</x:f>
        <x:v>31</x:v>
      </x:c>
      <x:c r="O37" t="str">
        <x:f>IF(A37=1,"-",INDEX($B$2:$B$101,MATCH(N37,$A$2:$A$101,0)))</x:f>
        <x:v>漂漂羊</x:v>
      </x:c>
      <x:c r="P37" s="16" t="n">
        <x:f>IF(A37=1,0,POWER(2,A37-N37))</x:f>
        <x:v>32</x:v>
      </x:c>
      <x:c r="Q37" s="14" t="n">
        <x:f>IF(A37=1,0,INDEX($I$2:$I$101,MATCH(N37,$A$2:$A$101,0))*(POWER(INDEX('参数'!$G$4:$G$8,MATCH(INDEX($C$2:$C$101,MATCH(N37,$A$2:$A$101,0)),'参数'!$D$4:$D$8,0)),P37)-1)/(INDEX('参数'!$G$4:$G$8,MATCH(INDEX($C$2:$C$101,MATCH(N37,$A$2:$A$101,0)),'参数'!$D$4:$D$8,0))-1))</x:f>
        <x:v>1043160141902147.5</x:v>
      </x:c>
      <x:c r="R37" s="14" t="n">
        <x:f>IF(A37=1,0,G36*'参数'!$B$4)</x:f>
        <x:v>52458299671.573</x:v>
      </x:c>
      <x:c r="S37" s="18" t="n">
        <x:f>IF(A37=1,0,Q37/R37/3600)</x:f>
        <x:v>5.523753303063188</x:v>
      </x:c>
      <x:c r="T37" s="18" t="n">
        <x:f>IF(A37=1,0,SUM($S$2:S37)/24)</x:f>
        <x:v>5.387346966370423</x:v>
      </x:c>
      <x:c r="U37" t="str">
        <x:f>IF(A37=1,"初始羊",IF(AND(E37=1,C37&gt;1),"跨层解锁：需要上一层最终羊×2",IF(P37&gt;=32,"阶段门槛：建议配合广告/随机羊","常规解锁")))</x:f>
        <x:v>阶段门槛：建议配合广告/随机羊</x:v>
      </x:c>
    </x:row>
    <x:row r="38">
      <x:c r="A38" t="n">
        <x:v>37</x:v>
      </x:c>
      <x:c r="B38" t="str">
        <x:v>广播羊</x:v>
      </x:c>
      <x:c r="C38" t="n">
        <x:f>ROUNDUP(A38/20,0)</x:f>
        <x:v>2</x:v>
      </x:c>
      <x:c r="D38" t="str">
        <x:f>INDEX('参数'!$E$4:$E$8,MATCH(C38,'参数'!$D$4:$D$8,0))</x:f>
        <x:v>奇怪梦境层</x:v>
      </x:c>
      <x:c r="E38" t="n">
        <x:f>MOD(A38-1,20)+1</x:f>
        <x:v>17</x:v>
      </x:c>
      <x:c r="F38" t="n">
        <x:f>IF(A38=1,"-",IF(E38=1,'参数'!$B$10,IF(E38&lt;=5,'参数'!$B$6,IF(E38&lt;=10,'参数'!$B$7,IF(E38&lt;=15,'参数'!$B$8,'参数'!$B$9)))) )</x:f>
        <x:v>2.5</x:v>
      </x:c>
      <x:c r="G38" s="14" t="n">
        <x:f>IF(A38=1,1,IF(E38=1,G37*'参数'!$B$10,G37*F38))</x:f>
        <x:v>4098304661841.6406</x:v>
      </x:c>
      <x:c r="H38" s="14" t="n">
        <x:f>INDEX('参数'!$F$4:$F$8,MATCH(C38,'参数'!$D$4:$D$8,0))</x:f>
        <x:v>180</x:v>
      </x:c>
      <x:c r="I38" s="14" t="n">
        <x:f>G38*H38</x:f>
        <x:v>737694839131495.2</x:v>
      </x:c>
      <x:c r="J38" s="14" t="str">
        <x:f>"第n次 = 基础购买价 × 所属世界增长倍率^(n-1)"</x:f>
        <x:v>第n次 = 基础购买价 × 所属世界增长倍率^(n-1)</x:v>
      </x:c>
      <x:c r="K38" s="14" t="n">
        <x:f>I38*INDEX('参数'!$G$4:$G$8,MATCH(C38,'参数'!$D$4:$D$8,0))^('参数'!$B$5-1)</x:f>
        <x:v>1887050637427725.8</x:v>
      </x:c>
      <x:c r="L38" t="str">
        <x:f>INDEX('参数'!$I$4:$I$8,MATCH(C38,'参数'!$H$4:$H$8,0))</x:f>
        <x:v>Lv.1</x:v>
      </x:c>
      <x:c r="M38" t="n">
        <x:f>INDEX('参数'!$J$4:$J$8,MATCH(C38,'参数'!$H$4:$H$8,0))</x:f>
        <x:v>4</x:v>
      </x:c>
      <x:c r="N38" t="n">
        <x:f>IF(A38=1,"-",IF(AND(E38=1,C38&gt;1),MAX((C38-2)*20+1,A38-1-INDEX('参数'!$J$4:$J$8,MATCH(C38-1,'参数'!$H$4:$H$8,0))),MAX((C38-1)*20+1,A38-1-M38)))</x:f>
        <x:v>32</x:v>
      </x:c>
      <x:c r="O38" t="str">
        <x:f>IF(A38=1,"-",INDEX($B$2:$B$101,MATCH(N38,$A$2:$A$101,0)))</x:f>
        <x:v>云朵羊</x:v>
      </x:c>
      <x:c r="P38" s="16" t="n">
        <x:f>IF(A38=1,0,POWER(2,A38-N38))</x:f>
        <x:v>32</x:v>
      </x:c>
      <x:c r="Q38" s="14" t="n">
        <x:f>IF(A38=1,0,INDEX($I$2:$I$101,MATCH(N38,$A$2:$A$101,0))*(POWER(INDEX('参数'!$G$4:$G$8,MATCH(INDEX($C$2:$C$101,MATCH(N38,$A$2:$A$101,0)),'参数'!$D$4:$D$8,0)),P38)-1)/(INDEX('参数'!$G$4:$G$8,MATCH(INDEX($C$2:$C$101,MATCH(N38,$A$2:$A$101,0)),'参数'!$D$4:$D$8,0))-1))</x:f>
        <x:v>2399268326374939</x:v>
      </x:c>
      <x:c r="R38" s="14" t="n">
        <x:f>IF(A38=1,0,G37*'参数'!$B$4)</x:f>
        <x:v>131145749178.9325</x:v>
      </x:c>
      <x:c r="S38" s="18" t="n">
        <x:f>IF(A38=1,0,Q38/R38/3600)</x:f>
        <x:v>5.081853038818132</x:v>
      </x:c>
      <x:c r="T38" s="18" t="n">
        <x:f>IF(A38=1,0,SUM($S$2:S38)/24)</x:f>
        <x:v>5.599090842987845</x:v>
      </x:c>
      <x:c r="U38" t="str">
        <x:f>IF(A38=1,"初始羊",IF(AND(E38=1,C38&gt;1),"跨层解锁：需要上一层最终羊×2",IF(P38&gt;=32,"阶段门槛：建议配合广告/随机羊","常规解锁")))</x:f>
        <x:v>阶段门槛：建议配合广告/随机羊</x:v>
      </x:c>
    </x:row>
    <x:row r="39">
      <x:c r="A39" t="n">
        <x:v>38</x:v>
      </x:c>
      <x:c r="B39" t="str">
        <x:v>空洞羊</x:v>
      </x:c>
      <x:c r="C39" t="n">
        <x:f>ROUNDUP(A39/20,0)</x:f>
        <x:v>2</x:v>
      </x:c>
      <x:c r="D39" t="str">
        <x:f>INDEX('参数'!$E$4:$E$8,MATCH(C39,'参数'!$D$4:$D$8,0))</x:f>
        <x:v>奇怪梦境层</x:v>
      </x:c>
      <x:c r="E39" t="n">
        <x:f>MOD(A39-1,20)+1</x:f>
        <x:v>18</x:v>
      </x:c>
      <x:c r="F39" t="n">
        <x:f>IF(A39=1,"-",IF(E39=1,'参数'!$B$10,IF(E39&lt;=5,'参数'!$B$6,IF(E39&lt;=10,'参数'!$B$7,IF(E39&lt;=15,'参数'!$B$8,'参数'!$B$9)))) )</x:f>
        <x:v>2.5</x:v>
      </x:c>
      <x:c r="G39" s="14" t="n">
        <x:f>IF(A39=1,1,IF(E39=1,G38*'参数'!$B$10,G38*F39))</x:f>
        <x:v>10245761654604.102</x:v>
      </x:c>
      <x:c r="H39" s="14" t="n">
        <x:f>INDEX('参数'!$F$4:$F$8,MATCH(C39,'参数'!$D$4:$D$8,0))</x:f>
        <x:v>180</x:v>
      </x:c>
      <x:c r="I39" s="14" t="n">
        <x:f>G39*H39</x:f>
        <x:v>1844237097828738.2</x:v>
      </x:c>
      <x:c r="J39" s="14" t="str">
        <x:f>"第n次 = 基础购买价 × 所属世界增长倍率^(n-1)"</x:f>
        <x:v>第n次 = 基础购买价 × 所属世界增长倍率^(n-1)</x:v>
      </x:c>
      <x:c r="K39" s="14" t="n">
        <x:f>I39*INDEX('参数'!$G$4:$G$8,MATCH(C39,'参数'!$D$4:$D$8,0))^('参数'!$B$5-1)</x:f>
        <x:v>4717626593569315</x:v>
      </x:c>
      <x:c r="L39" t="str">
        <x:f>INDEX('参数'!$I$4:$I$8,MATCH(C39,'参数'!$H$4:$H$8,0))</x:f>
        <x:v>Lv.1</x:v>
      </x:c>
      <x:c r="M39" t="n">
        <x:f>INDEX('参数'!$J$4:$J$8,MATCH(C39,'参数'!$H$4:$H$8,0))</x:f>
        <x:v>4</x:v>
      </x:c>
      <x:c r="N39" t="n">
        <x:f>IF(A39=1,"-",IF(AND(E39=1,C39&gt;1),MAX((C39-2)*20+1,A39-1-INDEX('参数'!$J$4:$J$8,MATCH(C39-1,'参数'!$H$4:$H$8,0))),MAX((C39-1)*20+1,A39-1-M39)))</x:f>
        <x:v>33</x:v>
      </x:c>
      <x:c r="O39" t="str">
        <x:f>IF(A39=1,"-",INDEX($B$2:$B$101,MATCH(N39,$A$2:$A$101,0)))</x:f>
        <x:v>黑眼羊</x:v>
      </x:c>
      <x:c r="P39" s="16" t="n">
        <x:f>IF(A39=1,0,POWER(2,A39-N39))</x:f>
        <x:v>32</x:v>
      </x:c>
      <x:c r="Q39" s="14" t="n">
        <x:f>IF(A39=1,0,INDEX($I$2:$I$101,MATCH(N39,$A$2:$A$101,0))*(POWER(INDEX('参数'!$G$4:$G$8,MATCH(INDEX($C$2:$C$101,MATCH(N39,$A$2:$A$101,0)),'参数'!$D$4:$D$8,0)),P39)-1)/(INDEX('参数'!$G$4:$G$8,MATCH(INDEX($C$2:$C$101,MATCH(N39,$A$2:$A$101,0)),'参数'!$D$4:$D$8,0))-1))</x:f>
        <x:v>5518317150662359</x:v>
      </x:c>
      <x:c r="R39" s="14" t="n">
        <x:f>IF(A39=1,0,G38*'参数'!$B$4)</x:f>
        <x:v>327864372947.33124</x:v>
      </x:c>
      <x:c r="S39" s="18" t="n">
        <x:f>IF(A39=1,0,Q39/R39/3600)</x:f>
        <x:v>4.675304795712681</x:v>
      </x:c>
      <x:c r="T39" s="18" t="n">
        <x:f>IF(A39=1,0,SUM($S$2:S39)/24)</x:f>
        <x:v>5.793895209475874</x:v>
      </x:c>
      <x:c r="U39" t="str">
        <x:f>IF(A39=1,"初始羊",IF(AND(E39=1,C39&gt;1),"跨层解锁：需要上一层最终羊×2",IF(P39&gt;=32,"阶段门槛：建议配合广告/随机羊","常规解锁")))</x:f>
        <x:v>阶段门槛：建议配合广告/随机羊</x:v>
      </x:c>
    </x:row>
    <x:row r="40">
      <x:c r="A40" t="n">
        <x:v>39</x:v>
      </x:c>
      <x:c r="B40" t="str">
        <x:v>观测羊</x:v>
      </x:c>
      <x:c r="C40" t="n">
        <x:f>ROUNDUP(A40/20,0)</x:f>
        <x:v>2</x:v>
      </x:c>
      <x:c r="D40" t="str">
        <x:f>INDEX('参数'!$E$4:$E$8,MATCH(C40,'参数'!$D$4:$D$8,0))</x:f>
        <x:v>奇怪梦境层</x:v>
      </x:c>
      <x:c r="E40" t="n">
        <x:f>MOD(A40-1,20)+1</x:f>
        <x:v>19</x:v>
      </x:c>
      <x:c r="F40" t="n">
        <x:f>IF(A40=1,"-",IF(E40=1,'参数'!$B$10,IF(E40&lt;=5,'参数'!$B$6,IF(E40&lt;=10,'参数'!$B$7,IF(E40&lt;=15,'参数'!$B$8,'参数'!$B$9)))) )</x:f>
        <x:v>2.5</x:v>
      </x:c>
      <x:c r="G40" s="14" t="n">
        <x:f>IF(A40=1,1,IF(E40=1,G39*'参数'!$B$10,G39*F40))</x:f>
        <x:v>25614404136510.254</x:v>
      </x:c>
      <x:c r="H40" s="14" t="n">
        <x:f>INDEX('参数'!$F$4:$F$8,MATCH(C40,'参数'!$D$4:$D$8,0))</x:f>
        <x:v>180</x:v>
      </x:c>
      <x:c r="I40" s="14" t="n">
        <x:f>G40*H40</x:f>
        <x:v>4610592744571846</x:v>
      </x:c>
      <x:c r="J40" s="14" t="str">
        <x:f>"第n次 = 基础购买价 × 所属世界增长倍率^(n-1)"</x:f>
        <x:v>第n次 = 基础购买价 × 所属世界增长倍率^(n-1)</x:v>
      </x:c>
      <x:c r="K40" s="14" t="n">
        <x:f>I40*INDEX('参数'!$G$4:$G$8,MATCH(C40,'参数'!$D$4:$D$8,0))^('参数'!$B$5-1)</x:f>
        <x:v>11794066483923288</x:v>
      </x:c>
      <x:c r="L40" t="str">
        <x:f>INDEX('参数'!$I$4:$I$8,MATCH(C40,'参数'!$H$4:$H$8,0))</x:f>
        <x:v>Lv.1</x:v>
      </x:c>
      <x:c r="M40" t="n">
        <x:f>INDEX('参数'!$J$4:$J$8,MATCH(C40,'参数'!$H$4:$H$8,0))</x:f>
        <x:v>4</x:v>
      </x:c>
      <x:c r="N40" t="n">
        <x:f>IF(A40=1,"-",IF(AND(E40=1,C40&gt;1),MAX((C40-2)*20+1,A40-1-INDEX('参数'!$J$4:$J$8,MATCH(C40-1,'参数'!$H$4:$H$8,0))),MAX((C40-1)*20+1,A40-1-M40)))</x:f>
        <x:v>34</x:v>
      </x:c>
      <x:c r="O40" t="str">
        <x:f>IF(A40=1,"-",INDEX($B$2:$B$101,MATCH(N40,$A$2:$A$101,0)))</x:f>
        <x:v>噪音羊</x:v>
      </x:c>
      <x:c r="P40" s="16" t="n">
        <x:f>IF(A40=1,0,POWER(2,A40-N40))</x:f>
        <x:v>32</x:v>
      </x:c>
      <x:c r="Q40" s="14" t="n">
        <x:f>IF(A40=1,0,INDEX($I$2:$I$101,MATCH(N40,$A$2:$A$101,0))*(POWER(INDEX('参数'!$G$4:$G$8,MATCH(INDEX($C$2:$C$101,MATCH(N40,$A$2:$A$101,0)),'参数'!$D$4:$D$8,0)),P40)-1)/(INDEX('参数'!$G$4:$G$8,MATCH(INDEX($C$2:$C$101,MATCH(N40,$A$2:$A$101,0)),'参数'!$D$4:$D$8,0))-1))</x:f>
        <x:v>12692129446523426</x:v>
      </x:c>
      <x:c r="R40" s="14" t="n">
        <x:f>IF(A40=1,0,G39*'参数'!$B$4)</x:f>
        <x:v>819660932368.3281</x:v>
      </x:c>
      <x:c r="S40" s="18" t="n">
        <x:f>IF(A40=1,0,Q40/R40/3600)</x:f>
        <x:v>4.301280412055666</x:v>
      </x:c>
      <x:c r="T40" s="18" t="n">
        <x:f>IF(A40=1,0,SUM($S$2:S40)/24)</x:f>
        <x:v>5.97311522664486</x:v>
      </x:c>
      <x:c r="U40" t="str">
        <x:f>IF(A40=1,"初始羊",IF(AND(E40=1,C40&gt;1),"跨层解锁：需要上一层最终羊×2",IF(P40&gt;=32,"阶段门槛：建议配合广告/随机羊","常规解锁")))</x:f>
        <x:v>阶段门槛：建议配合广告/随机羊</x:v>
      </x:c>
    </x:row>
    <x:row r="41">
      <x:c r="A41" t="n">
        <x:v>40</x:v>
      </x:c>
      <x:c r="B41" t="str">
        <x:v>梦境觉醒羊</x:v>
      </x:c>
      <x:c r="C41" t="n">
        <x:f>ROUNDUP(A41/20,0)</x:f>
        <x:v>2</x:v>
      </x:c>
      <x:c r="D41" t="str">
        <x:f>INDEX('参数'!$E$4:$E$8,MATCH(C41,'参数'!$D$4:$D$8,0))</x:f>
        <x:v>奇怪梦境层</x:v>
      </x:c>
      <x:c r="E41" t="n">
        <x:f>MOD(A41-1,20)+1</x:f>
        <x:v>20</x:v>
      </x:c>
      <x:c r="F41" t="n">
        <x:f>IF(A41=1,"-",IF(E41=1,'参数'!$B$10,IF(E41&lt;=5,'参数'!$B$6,IF(E41&lt;=10,'参数'!$B$7,IF(E41&lt;=15,'参数'!$B$8,'参数'!$B$9)))) )</x:f>
        <x:v>2.5</x:v>
      </x:c>
      <x:c r="G41" s="14" t="n">
        <x:f>IF(A41=1,1,IF(E41=1,G40*'参数'!$B$10,G40*F41))</x:f>
        <x:v>64036010341275.63</x:v>
      </x:c>
      <x:c r="H41" s="14" t="n">
        <x:f>INDEX('参数'!$F$4:$F$8,MATCH(C41,'参数'!$D$4:$D$8,0))</x:f>
        <x:v>180</x:v>
      </x:c>
      <x:c r="I41" s="14" t="n">
        <x:f>G41*H41</x:f>
        <x:v>11526481861429614</x:v>
      </x:c>
      <x:c r="J41" s="14" t="str">
        <x:f>"第n次 = 基础购买价 × 所属世界增长倍率^(n-1)"</x:f>
        <x:v>第n次 = 基础购买价 × 所属世界增长倍率^(n-1)</x:v>
      </x:c>
      <x:c r="K41" s="14" t="n">
        <x:f>I41*INDEX('参数'!$G$4:$G$8,MATCH(C41,'参数'!$D$4:$D$8,0))^('参数'!$B$5-1)</x:f>
        <x:v>29485166209808216</x:v>
      </x:c>
      <x:c r="L41" t="str">
        <x:f>INDEX('参数'!$I$4:$I$8,MATCH(C41,'参数'!$H$4:$H$8,0))</x:f>
        <x:v>Lv.1</x:v>
      </x:c>
      <x:c r="M41" t="n">
        <x:f>INDEX('参数'!$J$4:$J$8,MATCH(C41,'参数'!$H$4:$H$8,0))</x:f>
        <x:v>4</x:v>
      </x:c>
      <x:c r="N41" t="n">
        <x:f>IF(A41=1,"-",IF(AND(E41=1,C41&gt;1),MAX((C41-2)*20+1,A41-1-INDEX('参数'!$J$4:$J$8,MATCH(C41-1,'参数'!$H$4:$H$8,0))),MAX((C41-1)*20+1,A41-1-M41)))</x:f>
        <x:v>35</x:v>
      </x:c>
      <x:c r="O41" t="str">
        <x:f>IF(A41=1,"-",INDEX($B$2:$B$101,MATCH(N41,$A$2:$A$101,0)))</x:f>
        <x:v>镜像羊</x:v>
      </x:c>
      <x:c r="P41" s="16" t="n">
        <x:f>IF(A41=1,0,POWER(2,A41-N41))</x:f>
        <x:v>32</x:v>
      </x:c>
      <x:c r="Q41" s="14" t="n">
        <x:f>IF(A41=1,0,INDEX($I$2:$I$101,MATCH(N41,$A$2:$A$101,0))*(POWER(INDEX('参数'!$G$4:$G$8,MATCH(INDEX($C$2:$C$101,MATCH(N41,$A$2:$A$101,0)),'参数'!$D$4:$D$8,0)),P41)-1)/(INDEX('参数'!$G$4:$G$8,MATCH(INDEX($C$2:$C$101,MATCH(N41,$A$2:$A$101,0)),'参数'!$D$4:$D$8,0))-1))</x:f>
        <x:v>29191897727003880</x:v>
      </x:c>
      <x:c r="R41" s="14" t="n">
        <x:f>IF(A41=1,0,G40*'参数'!$B$4)</x:f>
        <x:v>2049152330920.8203</x:v>
      </x:c>
      <x:c r="S41" s="18" t="n">
        <x:f>IF(A41=1,0,Q41/R41/3600)</x:f>
        <x:v>3.957177979091213</x:v>
      </x:c>
      <x:c r="T41" s="18" t="n">
        <x:f>IF(A41=1,0,SUM($S$2:S41)/24)</x:f>
        <x:v>6.137997642440328</x:v>
      </x:c>
      <x:c r="U41" t="str">
        <x:f>IF(A41=1,"初始羊",IF(AND(E41=1,C41&gt;1),"跨层解锁：需要上一层最终羊×2",IF(P41&gt;=32,"阶段门槛：建议配合广告/随机羊","常规解锁")))</x:f>
        <x:v>阶段门槛：建议配合广告/随机羊</x:v>
      </x:c>
    </x:row>
    <x:row r="42">
      <x:c r="A42" t="n">
        <x:v>41</x:v>
      </x:c>
      <x:c r="B42" t="str">
        <x:v>宇航羊</x:v>
      </x:c>
      <x:c r="C42" t="n">
        <x:f>ROUNDUP(A42/20,0)</x:f>
        <x:v>3</x:v>
      </x:c>
      <x:c r="D42" t="str">
        <x:f>INDEX('参数'!$E$4:$E$8,MATCH(C42,'参数'!$D$4:$D$8,0))</x:f>
        <x:v>宇宙摸鱼层</x:v>
      </x:c>
      <x:c r="E42" t="n">
        <x:f>MOD(A42-1,20)+1</x:f>
        <x:v>1</x:v>
      </x:c>
      <x:c r="F42" t="n">
        <x:f>IF(A42=1,"-",IF(E42=1,'参数'!$B$10,IF(E42&lt;=5,'参数'!$B$6,IF(E42&lt;=10,'参数'!$B$7,IF(E42&lt;=15,'参数'!$B$8,'参数'!$B$9)))) )</x:f>
        <x:v>3</x:v>
      </x:c>
      <x:c r="G42" s="14" t="n">
        <x:f>IF(A42=1,1,IF(E42=1,G41*'参数'!$B$10,G41*F42))</x:f>
        <x:v>192108031023826.9</x:v>
      </x:c>
      <x:c r="H42" s="14" t="n">
        <x:f>INDEX('参数'!$F$4:$F$8,MATCH(C42,'参数'!$D$4:$D$8,0))</x:f>
        <x:v>360</x:v>
      </x:c>
      <x:c r="I42" s="14" t="n">
        <x:f>G42*H42</x:f>
        <x:v>69158891168577690</x:v>
      </x:c>
      <x:c r="J42" s="14" t="str">
        <x:f>"第n次 = 基础购买价 × 所属世界增长倍率^(n-1)"</x:f>
        <x:v>第n次 = 基础购买价 × 所属世界增长倍率^(n-1)</x:v>
      </x:c>
      <x:c r="K42" s="14" t="n">
        <x:f>I42*INDEX('参数'!$G$4:$G$8,MATCH(C42,'参数'!$D$4:$D$8,0))^('参数'!$B$5-1)</x:f>
        <x:v>330956316369951940</x:v>
      </x:c>
      <x:c r="L42" t="str">
        <x:f>INDEX('参数'!$I$4:$I$8,MATCH(C42,'参数'!$H$4:$H$8,0))</x:f>
        <x:v>Lv.2</x:v>
      </x:c>
      <x:c r="M42" t="n">
        <x:f>INDEX('参数'!$J$4:$J$8,MATCH(C42,'参数'!$H$4:$H$8,0))</x:f>
        <x:v>3</x:v>
      </x:c>
      <x:c r="N42" t="n">
        <x:f>IF(A42=1,"-",IF(AND(E42=1,C42&gt;1),MAX((C42-2)*20+1,A42-1-INDEX('参数'!$J$4:$J$8,MATCH(C42-1,'参数'!$H$4:$H$8,0))),MAX((C42-1)*20+1,A42-1-M42)))</x:f>
        <x:v>36</x:v>
      </x:c>
      <x:c r="O42" t="str">
        <x:f>IF(A42=1,"-",INDEX($B$2:$B$101,MATCH(N42,$A$2:$A$101,0)))</x:f>
        <x:v>深夜羊</x:v>
      </x:c>
      <x:c r="P42" s="16" t="n">
        <x:f>IF(A42=1,0,POWER(2,A42-N42))</x:f>
        <x:v>32</x:v>
      </x:c>
      <x:c r="Q42" s="14" t="n">
        <x:f>IF(A42=1,0,INDEX($I$2:$I$101,MATCH(N42,$A$2:$A$101,0))*(POWER(INDEX('参数'!$G$4:$G$8,MATCH(INDEX($C$2:$C$101,MATCH(N42,$A$2:$A$101,0)),'参数'!$D$4:$D$8,0)),P42)-1)/(INDEX('参数'!$G$4:$G$8,MATCH(INDEX($C$2:$C$101,MATCH(N42,$A$2:$A$101,0)),'参数'!$D$4:$D$8,0))-1))</x:f>
        <x:v>72979744317509700</x:v>
      </x:c>
      <x:c r="R42" s="14" t="n">
        <x:f>IF(A42=1,0,G41*'参数'!$B$4)</x:f>
        <x:v>5122880827302.051</x:v>
      </x:c>
      <x:c r="S42" s="18" t="n">
        <x:f>IF(A42=1,0,Q42/R42/3600)</x:f>
        <x:v>3.9571779790912123</x:v>
      </x:c>
      <x:c r="T42" s="18" t="n">
        <x:f>IF(A42=1,0,SUM($S$2:S42)/24)</x:f>
        <x:v>6.302880058235794</x:v>
      </x:c>
      <x:c r="U42" t="str">
        <x:f>IF(A42=1,"初始羊",IF(AND(E42=1,C42&gt;1),"跨层解锁：需要上一层最终羊×2",IF(P42&gt;=32,"阶段门槛：建议配合广告/随机羊","常规解锁")))</x:f>
        <x:v>跨层解锁：需要上一层最终羊×2</x:v>
      </x:c>
    </x:row>
    <x:row r="43">
      <x:c r="A43" t="n">
        <x:v>42</x:v>
      </x:c>
      <x:c r="B43" t="str">
        <x:v>失重羊</x:v>
      </x:c>
      <x:c r="C43" t="n">
        <x:f>ROUNDUP(A43/20,0)</x:f>
        <x:v>3</x:v>
      </x:c>
      <x:c r="D43" t="str">
        <x:f>INDEX('参数'!$E$4:$E$8,MATCH(C43,'参数'!$D$4:$D$8,0))</x:f>
        <x:v>宇宙摸鱼层</x:v>
      </x:c>
      <x:c r="E43" t="n">
        <x:f>MOD(A43-1,20)+1</x:f>
        <x:v>2</x:v>
      </x:c>
      <x:c r="F43" t="n">
        <x:f>IF(A43=1,"-",IF(E43=1,'参数'!$B$10,IF(E43&lt;=5,'参数'!$B$6,IF(E43&lt;=10,'参数'!$B$7,IF(E43&lt;=15,'参数'!$B$8,'参数'!$B$9)))) )</x:f>
        <x:v>2</x:v>
      </x:c>
      <x:c r="G43" s="14" t="n">
        <x:f>IF(A43=1,1,IF(E43=1,G42*'参数'!$B$10,G42*F43))</x:f>
        <x:v>384216062047653.8</x:v>
      </x:c>
      <x:c r="H43" s="14" t="n">
        <x:f>INDEX('参数'!$F$4:$F$8,MATCH(C43,'参数'!$D$4:$D$8,0))</x:f>
        <x:v>360</x:v>
      </x:c>
      <x:c r="I43" s="14" t="n">
        <x:f>G43*H43</x:f>
        <x:v>138317782337155380</x:v>
      </x:c>
      <x:c r="J43" s="14" t="str">
        <x:f>"第n次 = 基础购买价 × 所属世界增长倍率^(n-1)"</x:f>
        <x:v>第n次 = 基础购买价 × 所属世界增长倍率^(n-1)</x:v>
      </x:c>
      <x:c r="K43" s="14" t="n">
        <x:f>I43*INDEX('参数'!$G$4:$G$8,MATCH(C43,'参数'!$D$4:$D$8,0))^('参数'!$B$5-1)</x:f>
        <x:v>661912632739903900</x:v>
      </x:c>
      <x:c r="L43" t="str">
        <x:f>INDEX('参数'!$I$4:$I$8,MATCH(C43,'参数'!$H$4:$H$8,0))</x:f>
        <x:v>Lv.2</x:v>
      </x:c>
      <x:c r="M43" t="n">
        <x:f>INDEX('参数'!$J$4:$J$8,MATCH(C43,'参数'!$H$4:$H$8,0))</x:f>
        <x:v>3</x:v>
      </x:c>
      <x:c r="N43" t="n">
        <x:f>IF(A43=1,"-",IF(AND(E43=1,C43&gt;1),MAX((C43-2)*20+1,A43-1-INDEX('参数'!$J$4:$J$8,MATCH(C43-1,'参数'!$H$4:$H$8,0))),MAX((C43-1)*20+1,A43-1-M43)))</x:f>
        <x:v>41</x:v>
      </x:c>
      <x:c r="O43" t="str">
        <x:f>IF(A43=1,"-",INDEX($B$2:$B$101,MATCH(N43,$A$2:$A$101,0)))</x:f>
        <x:v>宇航羊</x:v>
      </x:c>
      <x:c r="P43" s="16" t="n">
        <x:f>IF(A43=1,0,POWER(2,A43-N43))</x:f>
        <x:v>2</x:v>
      </x:c>
      <x:c r="Q43" s="14" t="n">
        <x:f>IF(A43=1,0,INDEX($I$2:$I$101,MATCH(N43,$A$2:$A$101,0))*(POWER(INDEX('参数'!$G$4:$G$8,MATCH(INDEX($C$2:$C$101,MATCH(N43,$A$2:$A$101,0)),'参数'!$D$4:$D$8,0)),P43)-1)/(INDEX('参数'!$G$4:$G$8,MATCH(INDEX($C$2:$C$101,MATCH(N43,$A$2:$A$101,0)),'参数'!$D$4:$D$8,0))-1))</x:f>
        <x:v>151457971659185150</x:v>
      </x:c>
      <x:c r="R43" s="14" t="n">
        <x:f>IF(A43=1,0,G42*'参数'!$B$4)</x:f>
        <x:v>15368642481906.152</x:v>
      </x:c>
      <x:c r="S43" s="18" t="n">
        <x:f>IF(A43=1,0,Q43/R43/3600)</x:f>
        <x:v>2.7375000000000007</x:v>
      </x:c>
      <x:c r="T43" s="18" t="n">
        <x:f>IF(A43=1,0,SUM($S$2:S43)/24)</x:f>
        <x:v>6.416942558235795</x:v>
      </x:c>
      <x:c r="U43" t="str">
        <x:f>IF(A43=1,"初始羊",IF(AND(E43=1,C43&gt;1),"跨层解锁：需要上一层最终羊×2",IF(P43&gt;=32,"阶段门槛：建议配合广告/随机羊","常规解锁")))</x:f>
        <x:v>常规解锁</x:v>
      </x:c>
    </x:row>
    <x:row r="44">
      <x:c r="A44" t="n">
        <x:v>43</x:v>
      </x:c>
      <x:c r="B44" t="str">
        <x:v>行星羊</x:v>
      </x:c>
      <x:c r="C44" t="n">
        <x:f>ROUNDUP(A44/20,0)</x:f>
        <x:v>3</x:v>
      </x:c>
      <x:c r="D44" t="str">
        <x:f>INDEX('参数'!$E$4:$E$8,MATCH(C44,'参数'!$D$4:$D$8,0))</x:f>
        <x:v>宇宙摸鱼层</x:v>
      </x:c>
      <x:c r="E44" t="n">
        <x:f>MOD(A44-1,20)+1</x:f>
        <x:v>3</x:v>
      </x:c>
      <x:c r="F44" t="n">
        <x:f>IF(A44=1,"-",IF(E44=1,'参数'!$B$10,IF(E44&lt;=5,'参数'!$B$6,IF(E44&lt;=10,'参数'!$B$7,IF(E44&lt;=15,'参数'!$B$8,'参数'!$B$9)))) )</x:f>
        <x:v>2</x:v>
      </x:c>
      <x:c r="G44" s="14" t="n">
        <x:f>IF(A44=1,1,IF(E44=1,G43*'参数'!$B$10,G43*F44))</x:f>
        <x:v>768432124095307.6</x:v>
      </x:c>
      <x:c r="H44" s="14" t="n">
        <x:f>INDEX('参数'!$F$4:$F$8,MATCH(C44,'参数'!$D$4:$D$8,0))</x:f>
        <x:v>360</x:v>
      </x:c>
      <x:c r="I44" s="14" t="n">
        <x:f>G44*H44</x:f>
        <x:v>276635564674310750</x:v>
      </x:c>
      <x:c r="J44" s="14" t="str">
        <x:f>"第n次 = 基础购买价 × 所属世界增长倍率^(n-1)"</x:f>
        <x:v>第n次 = 基础购买价 × 所属世界增长倍率^(n-1)</x:v>
      </x:c>
      <x:c r="K44" s="14" t="n">
        <x:f>I44*INDEX('参数'!$G$4:$G$8,MATCH(C44,'参数'!$D$4:$D$8,0))^('参数'!$B$5-1)</x:f>
        <x:v>1323825265479807700</x:v>
      </x:c>
      <x:c r="L44" t="str">
        <x:f>INDEX('参数'!$I$4:$I$8,MATCH(C44,'参数'!$H$4:$H$8,0))</x:f>
        <x:v>Lv.2</x:v>
      </x:c>
      <x:c r="M44" t="n">
        <x:f>INDEX('参数'!$J$4:$J$8,MATCH(C44,'参数'!$H$4:$H$8,0))</x:f>
        <x:v>3</x:v>
      </x:c>
      <x:c r="N44" t="n">
        <x:f>IF(A44=1,"-",IF(AND(E44=1,C44&gt;1),MAX((C44-2)*20+1,A44-1-INDEX('参数'!$J$4:$J$8,MATCH(C44-1,'参数'!$H$4:$H$8,0))),MAX((C44-1)*20+1,A44-1-M44)))</x:f>
        <x:v>41</x:v>
      </x:c>
      <x:c r="O44" t="str">
        <x:f>IF(A44=1,"-",INDEX($B$2:$B$101,MATCH(N44,$A$2:$A$101,0)))</x:f>
        <x:v>宇航羊</x:v>
      </x:c>
      <x:c r="P44" s="16" t="n">
        <x:f>IF(A44=1,0,POWER(2,A44-N44))</x:f>
        <x:v>4</x:v>
      </x:c>
      <x:c r="Q44" s="14" t="n">
        <x:f>IF(A44=1,0,INDEX($I$2:$I$101,MATCH(N44,$A$2:$A$101,0))*(POWER(INDEX('参数'!$G$4:$G$8,MATCH(INDEX($C$2:$C$101,MATCH(N44,$A$2:$A$101,0)),'参数'!$D$4:$D$8,0)),P44)-1)/(INDEX('参数'!$G$4:$G$8,MATCH(INDEX($C$2:$C$101,MATCH(N44,$A$2:$A$101,0)),'参数'!$D$4:$D$8,0))-1))</x:f>
        <x:v>365937605325757250</x:v>
      </x:c>
      <x:c r="R44" s="14" t="n">
        <x:f>IF(A44=1,0,G43*'参数'!$B$4)</x:f>
        <x:v>30737284963812.305</x:v>
      </x:c>
      <x:c r="S44" s="18" t="n">
        <x:f>IF(A44=1,0,Q44/R44/3600)</x:f>
        <x:v>3.3070368750000005</x:v>
      </x:c>
      <x:c r="T44" s="18" t="n">
        <x:f>IF(A44=1,0,SUM($S$2:S44)/24)</x:f>
        <x:v>6.554735761360795</x:v>
      </x:c>
      <x:c r="U44" t="str">
        <x:f>IF(A44=1,"初始羊",IF(AND(E44=1,C44&gt;1),"跨层解锁：需要上一层最终羊×2",IF(P44&gt;=32,"阶段门槛：建议配合广告/随机羊","常规解锁")))</x:f>
        <x:v>常规解锁</x:v>
      </x:c>
    </x:row>
    <x:row r="45">
      <x:c r="A45" t="n">
        <x:v>44</x:v>
      </x:c>
      <x:c r="B45" t="str">
        <x:v>陨石羊</x:v>
      </x:c>
      <x:c r="C45" t="n">
        <x:f>ROUNDUP(A45/20,0)</x:f>
        <x:v>3</x:v>
      </x:c>
      <x:c r="D45" t="str">
        <x:f>INDEX('参数'!$E$4:$E$8,MATCH(C45,'参数'!$D$4:$D$8,0))</x:f>
        <x:v>宇宙摸鱼层</x:v>
      </x:c>
      <x:c r="E45" t="n">
        <x:f>MOD(A45-1,20)+1</x:f>
        <x:v>4</x:v>
      </x:c>
      <x:c r="F45" t="n">
        <x:f>IF(A45=1,"-",IF(E45=1,'参数'!$B$10,IF(E45&lt;=5,'参数'!$B$6,IF(E45&lt;=10,'参数'!$B$7,IF(E45&lt;=15,'参数'!$B$8,'参数'!$B$9)))) )</x:f>
        <x:v>2</x:v>
      </x:c>
      <x:c r="G45" s="14" t="n">
        <x:f>IF(A45=1,1,IF(E45=1,G44*'参数'!$B$10,G44*F45))</x:f>
        <x:v>1536864248190615.2</x:v>
      </x:c>
      <x:c r="H45" s="14" t="n">
        <x:f>INDEX('参数'!$F$4:$F$8,MATCH(C45,'参数'!$D$4:$D$8,0))</x:f>
        <x:v>360</x:v>
      </x:c>
      <x:c r="I45" s="14" t="n">
        <x:f>G45*H45</x:f>
        <x:v>553271129348621500</x:v>
      </x:c>
      <x:c r="J45" s="14" t="str">
        <x:f>"第n次 = 基础购买价 × 所属世界增长倍率^(n-1)"</x:f>
        <x:v>第n次 = 基础购买价 × 所属世界增长倍率^(n-1)</x:v>
      </x:c>
      <x:c r="K45" s="14" t="n">
        <x:f>I45*INDEX('参数'!$G$4:$G$8,MATCH(C45,'参数'!$D$4:$D$8,0))^('参数'!$B$5-1)</x:f>
        <x:v>2647650530959615500</x:v>
      </x:c>
      <x:c r="L45" t="str">
        <x:f>INDEX('参数'!$I$4:$I$8,MATCH(C45,'参数'!$H$4:$H$8,0))</x:f>
        <x:v>Lv.2</x:v>
      </x:c>
      <x:c r="M45" t="n">
        <x:f>INDEX('参数'!$J$4:$J$8,MATCH(C45,'参数'!$H$4:$H$8,0))</x:f>
        <x:v>3</x:v>
      </x:c>
      <x:c r="N45" t="n">
        <x:f>IF(A45=1,"-",IF(AND(E45=1,C45&gt;1),MAX((C45-2)*20+1,A45-1-INDEX('参数'!$J$4:$J$8,MATCH(C45-1,'参数'!$H$4:$H$8,0))),MAX((C45-1)*20+1,A45-1-M45)))</x:f>
        <x:v>41</x:v>
      </x:c>
      <x:c r="O45" t="str">
        <x:f>IF(A45=1,"-",INDEX($B$2:$B$101,MATCH(N45,$A$2:$A$101,0)))</x:f>
        <x:v>宇航羊</x:v>
      </x:c>
      <x:c r="P45" s="16" t="n">
        <x:f>IF(A45=1,0,POWER(2,A45-N45))</x:f>
        <x:v>8</x:v>
      </x:c>
      <x:c r="Q45" s="14" t="n">
        <x:f>IF(A45=1,0,INDEX($I$2:$I$101,MATCH(N45,$A$2:$A$101,0))*(POWER(INDEX('参数'!$G$4:$G$8,MATCH(INDEX($C$2:$C$101,MATCH(N45,$A$2:$A$101,0)),'参数'!$D$4:$D$8,0)),P45)-1)/(INDEX('参数'!$G$4:$G$8,MATCH(INDEX($C$2:$C$101,MATCH(N45,$A$2:$A$101,0)),'参数'!$D$4:$D$8,0))-1))</x:f>
        <x:v>1099766633699003100</x:v>
      </x:c>
      <x:c r="R45" s="14" t="n">
        <x:f>IF(A45=1,0,G44*'参数'!$B$4)</x:f>
        <x:v>61474569927624.61</x:v>
      </x:c>
      <x:c r="S45" s="18" t="n">
        <x:f>IF(A45=1,0,Q45/R45/3600)</x:f>
        <x:v>4.969383794676685</x:v>
      </x:c>
      <x:c r="T45" s="18" t="n">
        <x:f>IF(A45=1,0,SUM($S$2:S45)/24)</x:f>
        <x:v>6.761793419472323</x:v>
      </x:c>
      <x:c r="U45" t="str">
        <x:f>IF(A45=1,"初始羊",IF(AND(E45=1,C45&gt;1),"跨层解锁：需要上一层最终羊×2",IF(P45&gt;=32,"阶段门槛：建议配合广告/随机羊","常规解锁")))</x:f>
        <x:v>常规解锁</x:v>
      </x:c>
    </x:row>
    <x:row r="46">
      <x:c r="A46" t="n">
        <x:v>45</x:v>
      </x:c>
      <x:c r="B46" t="str">
        <x:v>黑洞摸鱼羊</x:v>
      </x:c>
      <x:c r="C46" t="n">
        <x:f>ROUNDUP(A46/20,0)</x:f>
        <x:v>3</x:v>
      </x:c>
      <x:c r="D46" t="str">
        <x:f>INDEX('参数'!$E$4:$E$8,MATCH(C46,'参数'!$D$4:$D$8,0))</x:f>
        <x:v>宇宙摸鱼层</x:v>
      </x:c>
      <x:c r="E46" t="n">
        <x:f>MOD(A46-1,20)+1</x:f>
        <x:v>5</x:v>
      </x:c>
      <x:c r="F46" t="n">
        <x:f>IF(A46=1,"-",IF(E46=1,'参数'!$B$10,IF(E46&lt;=5,'参数'!$B$6,IF(E46&lt;=10,'参数'!$B$7,IF(E46&lt;=15,'参数'!$B$8,'参数'!$B$9)))) )</x:f>
        <x:v>2</x:v>
      </x:c>
      <x:c r="G46" s="14" t="n">
        <x:f>IF(A46=1,1,IF(E46=1,G45*'参数'!$B$10,G45*F46))</x:f>
        <x:v>3073728496381230.5</x:v>
      </x:c>
      <x:c r="H46" s="14" t="n">
        <x:f>INDEX('参数'!$F$4:$F$8,MATCH(C46,'参数'!$D$4:$D$8,0))</x:f>
        <x:v>360</x:v>
      </x:c>
      <x:c r="I46" s="14" t="n">
        <x:f>G46*H46</x:f>
        <x:v>1106542258697243000</x:v>
      </x:c>
      <x:c r="J46" s="14" t="str">
        <x:f>"第n次 = 基础购买价 × 所属世界增长倍率^(n-1)"</x:f>
        <x:v>第n次 = 基础购买价 × 所属世界增长倍率^(n-1)</x:v>
      </x:c>
      <x:c r="K46" s="14" t="n">
        <x:f>I46*INDEX('参数'!$G$4:$G$8,MATCH(C46,'参数'!$D$4:$D$8,0))^('参数'!$B$5-1)</x:f>
        <x:v>5295301061919231000</x:v>
      </x:c>
      <x:c r="L46" t="str">
        <x:f>INDEX('参数'!$I$4:$I$8,MATCH(C46,'参数'!$H$4:$H$8,0))</x:f>
        <x:v>Lv.2</x:v>
      </x:c>
      <x:c r="M46" t="n">
        <x:f>INDEX('参数'!$J$4:$J$8,MATCH(C46,'参数'!$H$4:$H$8,0))</x:f>
        <x:v>3</x:v>
      </x:c>
      <x:c r="N46" t="n">
        <x:f>IF(A46=1,"-",IF(AND(E46=1,C46&gt;1),MAX((C46-2)*20+1,A46-1-INDEX('参数'!$J$4:$J$8,MATCH(C46-1,'参数'!$H$4:$H$8,0))),MAX((C46-1)*20+1,A46-1-M46)))</x:f>
        <x:v>41</x:v>
      </x:c>
      <x:c r="O46" t="str">
        <x:f>IF(A46=1,"-",INDEX($B$2:$B$101,MATCH(N46,$A$2:$A$101,0)))</x:f>
        <x:v>宇航羊</x:v>
      </x:c>
      <x:c r="P46" s="16" t="n">
        <x:f>IF(A46=1,0,POWER(2,A46-N46))</x:f>
        <x:v>16</x:v>
      </x:c>
      <x:c r="Q46" s="14" t="n">
        <x:f>IF(A46=1,0,INDEX($I$2:$I$101,MATCH(N46,$A$2:$A$101,0))*(POWER(INDEX('参数'!$G$4:$G$8,MATCH(INDEX($C$2:$C$101,MATCH(N46,$A$2:$A$101,0)),'参数'!$D$4:$D$8,0)),P46)-1)/(INDEX('参数'!$G$4:$G$8,MATCH(INDEX($C$2:$C$101,MATCH(N46,$A$2:$A$101,0)),'参数'!$D$4:$D$8,0))-1))</x:f>
        <x:v>5522352059755419000</x:v>
      </x:c>
      <x:c r="R46" s="14" t="n">
        <x:f>IF(A46=1,0,G45*'参数'!$B$4)</x:f>
        <x:v>122949139855249.22</x:v>
      </x:c>
      <x:c r="S46" s="18" t="n">
        <x:f>IF(A46=1,0,Q46/R46/3600)</x:f>
        <x:v>12.476595485510439</x:v>
      </x:c>
      <x:c r="T46" s="18" t="n">
        <x:f>IF(A46=1,0,SUM($S$2:S46)/24)</x:f>
        <x:v>7.281651564701924</x:v>
      </x:c>
      <x:c r="U46" t="str">
        <x:f>IF(A46=1,"初始羊",IF(AND(E46=1,C46&gt;1),"跨层解锁：需要上一层最终羊×2",IF(P46&gt;=32,"阶段门槛：建议配合广告/随机羊","常规解锁")))</x:f>
        <x:v>常规解锁</x:v>
      </x:c>
    </x:row>
    <x:row r="47">
      <x:c r="A47" t="n">
        <x:v>46</x:v>
      </x:c>
      <x:c r="B47" t="str">
        <x:v>银河羊</x:v>
      </x:c>
      <x:c r="C47" t="n">
        <x:f>ROUNDUP(A47/20,0)</x:f>
        <x:v>3</x:v>
      </x:c>
      <x:c r="D47" t="str">
        <x:f>INDEX('参数'!$E$4:$E$8,MATCH(C47,'参数'!$D$4:$D$8,0))</x:f>
        <x:v>宇宙摸鱼层</x:v>
      </x:c>
      <x:c r="E47" t="n">
        <x:f>MOD(A47-1,20)+1</x:f>
        <x:v>6</x:v>
      </x:c>
      <x:c r="F47" t="n">
        <x:f>IF(A47=1,"-",IF(E47=1,'参数'!$B$10,IF(E47&lt;=5,'参数'!$B$6,IF(E47&lt;=10,'参数'!$B$7,IF(E47&lt;=15,'参数'!$B$8,'参数'!$B$9)))) )</x:f>
        <x:v>2.15</x:v>
      </x:c>
      <x:c r="G47" s="14" t="n">
        <x:f>IF(A47=1,1,IF(E47=1,G46*'参数'!$B$10,G46*F47))</x:f>
        <x:v>6608516267219645</x:v>
      </x:c>
      <x:c r="H47" s="14" t="n">
        <x:f>INDEX('参数'!$F$4:$F$8,MATCH(C47,'参数'!$D$4:$D$8,0))</x:f>
        <x:v>360</x:v>
      </x:c>
      <x:c r="I47" s="14" t="n">
        <x:f>G47*H47</x:f>
        <x:v>2379065856199072300</x:v>
      </x:c>
      <x:c r="J47" s="14" t="str">
        <x:f>"第n次 = 基础购买价 × 所属世界增长倍率^(n-1)"</x:f>
        <x:v>第n次 = 基础购买价 × 所属世界增长倍率^(n-1)</x:v>
      </x:c>
      <x:c r="K47" s="14" t="n">
        <x:f>I47*INDEX('参数'!$G$4:$G$8,MATCH(C47,'参数'!$D$4:$D$8,0))^('参数'!$B$5-1)</x:f>
        <x:v>11384897283126346000</x:v>
      </x:c>
      <x:c r="L47" t="str">
        <x:f>INDEX('参数'!$I$4:$I$8,MATCH(C47,'参数'!$H$4:$H$8,0))</x:f>
        <x:v>Lv.2</x:v>
      </x:c>
      <x:c r="M47" t="n">
        <x:f>INDEX('参数'!$J$4:$J$8,MATCH(C47,'参数'!$H$4:$H$8,0))</x:f>
        <x:v>3</x:v>
      </x:c>
      <x:c r="N47" t="n">
        <x:f>IF(A47=1,"-",IF(AND(E47=1,C47&gt;1),MAX((C47-2)*20+1,A47-1-INDEX('参数'!$J$4:$J$8,MATCH(C47-1,'参数'!$H$4:$H$8,0))),MAX((C47-1)*20+1,A47-1-M47)))</x:f>
        <x:v>42</x:v>
      </x:c>
      <x:c r="O47" t="str">
        <x:f>IF(A47=1,"-",INDEX($B$2:$B$101,MATCH(N47,$A$2:$A$101,0)))</x:f>
        <x:v>失重羊</x:v>
      </x:c>
      <x:c r="P47" s="16" t="n">
        <x:f>IF(A47=1,0,POWER(2,A47-N47))</x:f>
        <x:v>16</x:v>
      </x:c>
      <x:c r="Q47" s="14" t="n">
        <x:f>IF(A47=1,0,INDEX($I$2:$I$101,MATCH(N47,$A$2:$A$101,0))*(POWER(INDEX('参数'!$G$4:$G$8,MATCH(INDEX($C$2:$C$101,MATCH(N47,$A$2:$A$101,0)),'参数'!$D$4:$D$8,0)),P47)-1)/(INDEX('参数'!$G$4:$G$8,MATCH(INDEX($C$2:$C$101,MATCH(N47,$A$2:$A$101,0)),'参数'!$D$4:$D$8,0))-1))</x:f>
        <x:v>11044704119510837000</x:v>
      </x:c>
      <x:c r="R47" s="14" t="n">
        <x:f>IF(A47=1,0,G46*'参数'!$B$4)</x:f>
        <x:v>245898279710498.44</x:v>
      </x:c>
      <x:c r="S47" s="18" t="n">
        <x:f>IF(A47=1,0,Q47/R47/3600)</x:f>
        <x:v>12.476595485510439</x:v>
      </x:c>
      <x:c r="T47" s="18" t="n">
        <x:f>IF(A47=1,0,SUM($S$2:S47)/24)</x:f>
        <x:v>7.801509709931526</x:v>
      </x:c>
      <x:c r="U47" t="str">
        <x:f>IF(A47=1,"初始羊",IF(AND(E47=1,C47&gt;1),"跨层解锁：需要上一层最终羊×2",IF(P47&gt;=32,"阶段门槛：建议配合广告/随机羊","常规解锁")))</x:f>
        <x:v>常规解锁</x:v>
      </x:c>
    </x:row>
    <x:row r="48">
      <x:c r="A48" t="n">
        <x:v>47</x:v>
      </x:c>
      <x:c r="B48" t="str">
        <x:v>哲学羊</x:v>
      </x:c>
      <x:c r="C48" t="n">
        <x:f>ROUNDUP(A48/20,0)</x:f>
        <x:v>3</x:v>
      </x:c>
      <x:c r="D48" t="str">
        <x:f>INDEX('参数'!$E$4:$E$8,MATCH(C48,'参数'!$D$4:$D$8,0))</x:f>
        <x:v>宇宙摸鱼层</x:v>
      </x:c>
      <x:c r="E48" t="n">
        <x:f>MOD(A48-1,20)+1</x:f>
        <x:v>7</x:v>
      </x:c>
      <x:c r="F48" t="n">
        <x:f>IF(A48=1,"-",IF(E48=1,'参数'!$B$10,IF(E48&lt;=5,'参数'!$B$6,IF(E48&lt;=10,'参数'!$B$7,IF(E48&lt;=15,'参数'!$B$8,'参数'!$B$9)))) )</x:f>
        <x:v>2.15</x:v>
      </x:c>
      <x:c r="G48" s="14" t="n">
        <x:f>IF(A48=1,1,IF(E48=1,G47*'参数'!$B$10,G47*F48))</x:f>
        <x:v>14208309974522236</x:v>
      </x:c>
      <x:c r="H48" s="14" t="n">
        <x:f>INDEX('参数'!$F$4:$F$8,MATCH(C48,'参数'!$D$4:$D$8,0))</x:f>
        <x:v>360</x:v>
      </x:c>
      <x:c r="I48" s="14" t="n">
        <x:f>G48*H48</x:f>
        <x:v>5114991590828005000</x:v>
      </x:c>
      <x:c r="J48" s="14" t="str">
        <x:f>"第n次 = 基础购买价 × 所属世界增长倍率^(n-1)"</x:f>
        <x:v>第n次 = 基础购买价 × 所属世界增长倍率^(n-1)</x:v>
      </x:c>
      <x:c r="K48" s="14" t="n">
        <x:f>I48*INDEX('参数'!$G$4:$G$8,MATCH(C48,'参数'!$D$4:$D$8,0))^('参数'!$B$5-1)</x:f>
        <x:v>24477529158721647000</x:v>
      </x:c>
      <x:c r="L48" t="str">
        <x:f>INDEX('参数'!$I$4:$I$8,MATCH(C48,'参数'!$H$4:$H$8,0))</x:f>
        <x:v>Lv.2</x:v>
      </x:c>
      <x:c r="M48" t="n">
        <x:f>INDEX('参数'!$J$4:$J$8,MATCH(C48,'参数'!$H$4:$H$8,0))</x:f>
        <x:v>3</x:v>
      </x:c>
      <x:c r="N48" t="n">
        <x:f>IF(A48=1,"-",IF(AND(E48=1,C48&gt;1),MAX((C48-2)*20+1,A48-1-INDEX('参数'!$J$4:$J$8,MATCH(C48-1,'参数'!$H$4:$H$8,0))),MAX((C48-1)*20+1,A48-1-M48)))</x:f>
        <x:v>43</x:v>
      </x:c>
      <x:c r="O48" t="str">
        <x:f>IF(A48=1,"-",INDEX($B$2:$B$101,MATCH(N48,$A$2:$A$101,0)))</x:f>
        <x:v>行星羊</x:v>
      </x:c>
      <x:c r="P48" s="16" t="n">
        <x:f>IF(A48=1,0,POWER(2,A48-N48))</x:f>
        <x:v>16</x:v>
      </x:c>
      <x:c r="Q48" s="14" t="n">
        <x:f>IF(A48=1,0,INDEX($I$2:$I$101,MATCH(N48,$A$2:$A$101,0))*(POWER(INDEX('参数'!$G$4:$G$8,MATCH(INDEX($C$2:$C$101,MATCH(N48,$A$2:$A$101,0)),'参数'!$D$4:$D$8,0)),P48)-1)/(INDEX('参数'!$G$4:$G$8,MATCH(INDEX($C$2:$C$101,MATCH(N48,$A$2:$A$101,0)),'参数'!$D$4:$D$8,0))-1))</x:f>
        <x:v>22089408239021674000</x:v>
      </x:c>
      <x:c r="R48" s="14" t="n">
        <x:f>IF(A48=1,0,G47*'参数'!$B$4)</x:f>
        <x:v>528681301377571.6</x:v>
      </x:c>
      <x:c r="S48" s="18" t="n">
        <x:f>IF(A48=1,0,Q48/R48/3600)</x:f>
        <x:v>11.606135335358548</x:v>
      </x:c>
      <x:c r="T48" s="18" t="n">
        <x:f>IF(A48=1,0,SUM($S$2:S48)/24)</x:f>
        <x:v>8.285098682238132</x:v>
      </x:c>
      <x:c r="U48" t="str">
        <x:f>IF(A48=1,"初始羊",IF(AND(E48=1,C48&gt;1),"跨层解锁：需要上一层最终羊×2",IF(P48&gt;=32,"阶段门槛：建议配合广告/随机羊","常规解锁")))</x:f>
        <x:v>常规解锁</x:v>
      </x:c>
    </x:row>
    <x:row r="49">
      <x:c r="A49" t="n">
        <x:v>48</x:v>
      </x:c>
      <x:c r="B49" t="str">
        <x:v>咸鱼羊</x:v>
      </x:c>
      <x:c r="C49" t="n">
        <x:f>ROUNDUP(A49/20,0)</x:f>
        <x:v>3</x:v>
      </x:c>
      <x:c r="D49" t="str">
        <x:f>INDEX('参数'!$E$4:$E$8,MATCH(C49,'参数'!$D$4:$D$8,0))</x:f>
        <x:v>宇宙摸鱼层</x:v>
      </x:c>
      <x:c r="E49" t="n">
        <x:f>MOD(A49-1,20)+1</x:f>
        <x:v>8</x:v>
      </x:c>
      <x:c r="F49" t="n">
        <x:f>IF(A49=1,"-",IF(E49=1,'参数'!$B$10,IF(E49&lt;=5,'参数'!$B$6,IF(E49&lt;=10,'参数'!$B$7,IF(E49&lt;=15,'参数'!$B$8,'参数'!$B$9)))) )</x:f>
        <x:v>2.15</x:v>
      </x:c>
      <x:c r="G49" s="14" t="n">
        <x:f>IF(A49=1,1,IF(E49=1,G48*'参数'!$B$10,G48*F49))</x:f>
        <x:v>30547866445222810</x:v>
      </x:c>
      <x:c r="H49" s="14" t="n">
        <x:f>INDEX('参数'!$F$4:$F$8,MATCH(C49,'参数'!$D$4:$D$8,0))</x:f>
        <x:v>360</x:v>
      </x:c>
      <x:c r="I49" s="14" t="n">
        <x:f>G49*H49</x:f>
        <x:v>10997231920280211000</x:v>
      </x:c>
      <x:c r="J49" s="14" t="str">
        <x:f>"第n次 = 基础购买价 × 所属世界增长倍率^(n-1)"</x:f>
        <x:v>第n次 = 基础购买价 × 所属世界增长倍率^(n-1)</x:v>
      </x:c>
      <x:c r="K49" s="14" t="n">
        <x:f>I49*INDEX('参数'!$G$4:$G$8,MATCH(C49,'参数'!$D$4:$D$8,0))^('参数'!$B$5-1)</x:f>
        <x:v>52626687691251540000</x:v>
      </x:c>
      <x:c r="L49" t="str">
        <x:f>INDEX('参数'!$I$4:$I$8,MATCH(C49,'参数'!$H$4:$H$8,0))</x:f>
        <x:v>Lv.2</x:v>
      </x:c>
      <x:c r="M49" t="n">
        <x:f>INDEX('参数'!$J$4:$J$8,MATCH(C49,'参数'!$H$4:$H$8,0))</x:f>
        <x:v>3</x:v>
      </x:c>
      <x:c r="N49" t="n">
        <x:f>IF(A49=1,"-",IF(AND(E49=1,C49&gt;1),MAX((C49-2)*20+1,A49-1-INDEX('参数'!$J$4:$J$8,MATCH(C49-1,'参数'!$H$4:$H$8,0))),MAX((C49-1)*20+1,A49-1-M49)))</x:f>
        <x:v>44</x:v>
      </x:c>
      <x:c r="O49" t="str">
        <x:f>IF(A49=1,"-",INDEX($B$2:$B$101,MATCH(N49,$A$2:$A$101,0)))</x:f>
        <x:v>陨石羊</x:v>
      </x:c>
      <x:c r="P49" s="16" t="n">
        <x:f>IF(A49=1,0,POWER(2,A49-N49))</x:f>
        <x:v>16</x:v>
      </x:c>
      <x:c r="Q49" s="14" t="n">
        <x:f>IF(A49=1,0,INDEX($I$2:$I$101,MATCH(N49,$A$2:$A$101,0))*(POWER(INDEX('参数'!$G$4:$G$8,MATCH(INDEX($C$2:$C$101,MATCH(N49,$A$2:$A$101,0)),'参数'!$D$4:$D$8,0)),P49)-1)/(INDEX('参数'!$G$4:$G$8,MATCH(INDEX($C$2:$C$101,MATCH(N49,$A$2:$A$101,0)),'参数'!$D$4:$D$8,0))-1))</x:f>
        <x:v>44178816478043350000</x:v>
      </x:c>
      <x:c r="R49" s="14" t="n">
        <x:f>IF(A49=1,0,G48*'参数'!$B$4)</x:f>
        <x:v>1136664797961779</x:v>
      </x:c>
      <x:c r="S49" s="18" t="n">
        <x:f>IF(A49=1,0,Q49/R49/3600)</x:f>
        <x:v>10.796404963124232</x:v>
      </x:c>
      <x:c r="T49" s="18" t="n">
        <x:f>IF(A49=1,0,SUM($S$2:S49)/24)</x:f>
        <x:v>8.734948889034975</x:v>
      </x:c>
      <x:c r="U49" t="str">
        <x:f>IF(A49=1,"初始羊",IF(AND(E49=1,C49&gt;1),"跨层解锁：需要上一层最终羊×2",IF(P49&gt;=32,"阶段门槛：建议配合广告/随机羊","常规解锁")))</x:f>
        <x:v>常规解锁</x:v>
      </x:c>
    </x:row>
    <x:row r="50">
      <x:c r="A50" t="n">
        <x:v>49</x:v>
      </x:c>
      <x:c r="B50" t="str">
        <x:v>流星羊</x:v>
      </x:c>
      <x:c r="C50" t="n">
        <x:f>ROUNDUP(A50/20,0)</x:f>
        <x:v>3</x:v>
      </x:c>
      <x:c r="D50" t="str">
        <x:f>INDEX('参数'!$E$4:$E$8,MATCH(C50,'参数'!$D$4:$D$8,0))</x:f>
        <x:v>宇宙摸鱼层</x:v>
      </x:c>
      <x:c r="E50" t="n">
        <x:f>MOD(A50-1,20)+1</x:f>
        <x:v>9</x:v>
      </x:c>
      <x:c r="F50" t="n">
        <x:f>IF(A50=1,"-",IF(E50=1,'参数'!$B$10,IF(E50&lt;=5,'参数'!$B$6,IF(E50&lt;=10,'参数'!$B$7,IF(E50&lt;=15,'参数'!$B$8,'参数'!$B$9)))) )</x:f>
        <x:v>2.15</x:v>
      </x:c>
      <x:c r="G50" s="14" t="n">
        <x:f>IF(A50=1,1,IF(E50=1,G49*'参数'!$B$10,G49*F50))</x:f>
        <x:v>65677912857229030</x:v>
      </x:c>
      <x:c r="H50" s="14" t="n">
        <x:f>INDEX('参数'!$F$4:$F$8,MATCH(C50,'参数'!$D$4:$D$8,0))</x:f>
        <x:v>360</x:v>
      </x:c>
      <x:c r="I50" s="14" t="n">
        <x:f>G50*H50</x:f>
        <x:v>23644048628602450000</x:v>
      </x:c>
      <x:c r="J50" s="14" t="str">
        <x:f>"第n次 = 基础购买价 × 所属世界增长倍率^(n-1)"</x:f>
        <x:v>第n次 = 基础购买价 × 所属世界增长倍率^(n-1)</x:v>
      </x:c>
      <x:c r="K50" s="14" t="n">
        <x:f>I50*INDEX('参数'!$G$4:$G$8,MATCH(C50,'参数'!$D$4:$D$8,0))^('参数'!$B$5-1)</x:f>
        <x:v>113147378536190790000</x:v>
      </x:c>
      <x:c r="L50" t="str">
        <x:f>INDEX('参数'!$I$4:$I$8,MATCH(C50,'参数'!$H$4:$H$8,0))</x:f>
        <x:v>Lv.2</x:v>
      </x:c>
      <x:c r="M50" t="n">
        <x:f>INDEX('参数'!$J$4:$J$8,MATCH(C50,'参数'!$H$4:$H$8,0))</x:f>
        <x:v>3</x:v>
      </x:c>
      <x:c r="N50" t="n">
        <x:f>IF(A50=1,"-",IF(AND(E50=1,C50&gt;1),MAX((C50-2)*20+1,A50-1-INDEX('参数'!$J$4:$J$8,MATCH(C50-1,'参数'!$H$4:$H$8,0))),MAX((C50-1)*20+1,A50-1-M50)))</x:f>
        <x:v>45</x:v>
      </x:c>
      <x:c r="O50" t="str">
        <x:f>IF(A50=1,"-",INDEX($B$2:$B$101,MATCH(N50,$A$2:$A$101,0)))</x:f>
        <x:v>黑洞摸鱼羊</x:v>
      </x:c>
      <x:c r="P50" s="16" t="n">
        <x:f>IF(A50=1,0,POWER(2,A50-N50))</x:f>
        <x:v>16</x:v>
      </x:c>
      <x:c r="Q50" s="14" t="n">
        <x:f>IF(A50=1,0,INDEX($I$2:$I$101,MATCH(N50,$A$2:$A$101,0))*(POWER(INDEX('参数'!$G$4:$G$8,MATCH(INDEX($C$2:$C$101,MATCH(N50,$A$2:$A$101,0)),'参数'!$D$4:$D$8,0)),P50)-1)/(INDEX('参数'!$G$4:$G$8,MATCH(INDEX($C$2:$C$101,MATCH(N50,$A$2:$A$101,0)),'参数'!$D$4:$D$8,0))-1))</x:f>
        <x:v>88357632956086700000</x:v>
      </x:c>
      <x:c r="R50" s="14" t="n">
        <x:f>IF(A50=1,0,G49*'参数'!$B$4)</x:f>
        <x:v>2443829315617824.5</x:v>
      </x:c>
      <x:c r="S50" s="18" t="n">
        <x:f>IF(A50=1,0,Q50/R50/3600)</x:f>
        <x:v>10.043167407557426</x:v>
      </x:c>
      <x:c r="T50" s="18" t="n">
        <x:f>IF(A50=1,0,SUM($S$2:S50)/24)</x:f>
        <x:v>9.153414197683201</x:v>
      </x:c>
      <x:c r="U50" t="str">
        <x:f>IF(A50=1,"初始羊",IF(AND(E50=1,C50&gt;1),"跨层解锁：需要上一层最终羊×2",IF(P50&gt;=32,"阶段门槛：建议配合广告/随机羊","常规解锁")))</x:f>
        <x:v>常规解锁</x:v>
      </x:c>
    </x:row>
    <x:row r="51">
      <x:c r="A51" t="n">
        <x:v>50</x:v>
      </x:c>
      <x:c r="B51" t="str">
        <x:v>太空羊</x:v>
      </x:c>
      <x:c r="C51" t="n">
        <x:f>ROUNDUP(A51/20,0)</x:f>
        <x:v>3</x:v>
      </x:c>
      <x:c r="D51" t="str">
        <x:f>INDEX('参数'!$E$4:$E$8,MATCH(C51,'参数'!$D$4:$D$8,0))</x:f>
        <x:v>宇宙摸鱼层</x:v>
      </x:c>
      <x:c r="E51" t="n">
        <x:f>MOD(A51-1,20)+1</x:f>
        <x:v>10</x:v>
      </x:c>
      <x:c r="F51" t="n">
        <x:f>IF(A51=1,"-",IF(E51=1,'参数'!$B$10,IF(E51&lt;=5,'参数'!$B$6,IF(E51&lt;=10,'参数'!$B$7,IF(E51&lt;=15,'参数'!$B$8,'参数'!$B$9)))) )</x:f>
        <x:v>2.15</x:v>
      </x:c>
      <x:c r="G51" s="14" t="n">
        <x:f>IF(A51=1,1,IF(E51=1,G50*'参数'!$B$10,G50*F51))</x:f>
        <x:v>141207512643042420</x:v>
      </x:c>
      <x:c r="H51" s="14" t="n">
        <x:f>INDEX('参数'!$F$4:$F$8,MATCH(C51,'参数'!$D$4:$D$8,0))</x:f>
        <x:v>360</x:v>
      </x:c>
      <x:c r="I51" s="14" t="n">
        <x:f>G51*H51</x:f>
        <x:v>50834704551495270000</x:v>
      </x:c>
      <x:c r="J51" s="14" t="str">
        <x:f>"第n次 = 基础购买价 × 所属世界增长倍率^(n-1)"</x:f>
        <x:v>第n次 = 基础购买价 × 所属世界增长倍率^(n-1)</x:v>
      </x:c>
      <x:c r="K51" s="14" t="n">
        <x:f>I51*INDEX('参数'!$G$4:$G$8,MATCH(C51,'参数'!$D$4:$D$8,0))^('参数'!$B$5-1)</x:f>
        <x:v>243266863852810200000</x:v>
      </x:c>
      <x:c r="L51" t="str">
        <x:f>INDEX('参数'!$I$4:$I$8,MATCH(C51,'参数'!$H$4:$H$8,0))</x:f>
        <x:v>Lv.2</x:v>
      </x:c>
      <x:c r="M51" t="n">
        <x:f>INDEX('参数'!$J$4:$J$8,MATCH(C51,'参数'!$H$4:$H$8,0))</x:f>
        <x:v>3</x:v>
      </x:c>
      <x:c r="N51" t="n">
        <x:f>IF(A51=1,"-",IF(AND(E51=1,C51&gt;1),MAX((C51-2)*20+1,A51-1-INDEX('参数'!$J$4:$J$8,MATCH(C51-1,'参数'!$H$4:$H$8,0))),MAX((C51-1)*20+1,A51-1-M51)))</x:f>
        <x:v>46</x:v>
      </x:c>
      <x:c r="O51" t="str">
        <x:f>IF(A51=1,"-",INDEX($B$2:$B$101,MATCH(N51,$A$2:$A$101,0)))</x:f>
        <x:v>银河羊</x:v>
      </x:c>
      <x:c r="P51" s="16" t="n">
        <x:f>IF(A51=1,0,POWER(2,A51-N51))</x:f>
        <x:v>16</x:v>
      </x:c>
      <x:c r="Q51" s="14" t="n">
        <x:f>IF(A51=1,0,INDEX($I$2:$I$101,MATCH(N51,$A$2:$A$101,0))*(POWER(INDEX('参数'!$G$4:$G$8,MATCH(INDEX($C$2:$C$101,MATCH(N51,$A$2:$A$101,0)),'参数'!$D$4:$D$8,0)),P51)-1)/(INDEX('参数'!$G$4:$G$8,MATCH(INDEX($C$2:$C$101,MATCH(N51,$A$2:$A$101,0)),'参数'!$D$4:$D$8,0))-1))</x:f>
        <x:v>189968910855586380000</x:v>
      </x:c>
      <x:c r="R51" s="14" t="n">
        <x:f>IF(A51=1,0,G50*'参数'!$B$4)</x:f>
        <x:v>5254233028578323</x:v>
      </x:c>
      <x:c r="S51" s="18" t="n">
        <x:f>IF(A51=1,0,Q51/R51/3600)</x:f>
        <x:v>10.043167407557425</x:v>
      </x:c>
      <x:c r="T51" s="18" t="n">
        <x:f>IF(A51=1,0,SUM($S$2:S51)/24)</x:f>
        <x:v>9.571879506331427</x:v>
      </x:c>
      <x:c r="U51" t="str">
        <x:f>IF(A51=1,"初始羊",IF(AND(E51=1,C51&gt;1),"跨层解锁：需要上一层最终羊×2",IF(P51&gt;=32,"阶段门槛：建议配合广告/随机羊","常规解锁")))</x:f>
        <x:v>常规解锁</x:v>
      </x:c>
    </x:row>
    <x:row r="52">
      <x:c r="A52" t="n">
        <x:v>51</x:v>
      </x:c>
      <x:c r="B52" t="str">
        <x:v>泡泡宇宙羊</x:v>
      </x:c>
      <x:c r="C52" t="n">
        <x:f>ROUNDUP(A52/20,0)</x:f>
        <x:v>3</x:v>
      </x:c>
      <x:c r="D52" t="str">
        <x:f>INDEX('参数'!$E$4:$E$8,MATCH(C52,'参数'!$D$4:$D$8,0))</x:f>
        <x:v>宇宙摸鱼层</x:v>
      </x:c>
      <x:c r="E52" t="n">
        <x:f>MOD(A52-1,20)+1</x:f>
        <x:v>11</x:v>
      </x:c>
      <x:c r="F52" t="n">
        <x:f>IF(A52=1,"-",IF(E52=1,'参数'!$B$10,IF(E52&lt;=5,'参数'!$B$6,IF(E52&lt;=10,'参数'!$B$7,IF(E52&lt;=15,'参数'!$B$8,'参数'!$B$9)))) )</x:f>
        <x:v>2.3</x:v>
      </x:c>
      <x:c r="G52" s="14" t="n">
        <x:f>IF(A52=1,1,IF(E52=1,G51*'参数'!$B$10,G51*F52))</x:f>
        <x:v>324777279078997500</x:v>
      </x:c>
      <x:c r="H52" s="14" t="n">
        <x:f>INDEX('参数'!$F$4:$F$8,MATCH(C52,'参数'!$D$4:$D$8,0))</x:f>
        <x:v>360</x:v>
      </x:c>
      <x:c r="I52" s="14" t="n">
        <x:f>G52*H52</x:f>
        <x:v>116919820468439100000</x:v>
      </x:c>
      <x:c r="J52" s="14" t="str">
        <x:f>"第n次 = 基础购买价 × 所属世界增长倍率^(n-1)"</x:f>
        <x:v>第n次 = 基础购买价 × 所属世界增长倍率^(n-1)</x:v>
      </x:c>
      <x:c r="K52" s="14" t="n">
        <x:f>I52*INDEX('参数'!$G$4:$G$8,MATCH(C52,'参数'!$D$4:$D$8,0))^('参数'!$B$5-1)</x:f>
        <x:v>559513786861463340000</x:v>
      </x:c>
      <x:c r="L52" t="str">
        <x:f>INDEX('参数'!$I$4:$I$8,MATCH(C52,'参数'!$H$4:$H$8,0))</x:f>
        <x:v>Lv.2</x:v>
      </x:c>
      <x:c r="M52" t="n">
        <x:f>INDEX('参数'!$J$4:$J$8,MATCH(C52,'参数'!$H$4:$H$8,0))</x:f>
        <x:v>3</x:v>
      </x:c>
      <x:c r="N52" t="n">
        <x:f>IF(A52=1,"-",IF(AND(E52=1,C52&gt;1),MAX((C52-2)*20+1,A52-1-INDEX('参数'!$J$4:$J$8,MATCH(C52-1,'参数'!$H$4:$H$8,0))),MAX((C52-1)*20+1,A52-1-M52)))</x:f>
        <x:v>47</x:v>
      </x:c>
      <x:c r="O52" t="str">
        <x:f>IF(A52=1,"-",INDEX($B$2:$B$101,MATCH(N52,$A$2:$A$101,0)))</x:f>
        <x:v>哲学羊</x:v>
      </x:c>
      <x:c r="P52" s="16" t="n">
        <x:f>IF(A52=1,0,POWER(2,A52-N52))</x:f>
        <x:v>16</x:v>
      </x:c>
      <x:c r="Q52" s="14" t="n">
        <x:f>IF(A52=1,0,INDEX($I$2:$I$101,MATCH(N52,$A$2:$A$101,0))*(POWER(INDEX('参数'!$G$4:$G$8,MATCH(INDEX($C$2:$C$101,MATCH(N52,$A$2:$A$101,0)),'参数'!$D$4:$D$8,0)),P52)-1)/(INDEX('参数'!$G$4:$G$8,MATCH(INDEX($C$2:$C$101,MATCH(N52,$A$2:$A$101,0)),'参数'!$D$4:$D$8,0))-1))</x:f>
        <x:v>408433158339510700000</x:v>
      </x:c>
      <x:c r="R52" s="14" t="n">
        <x:f>IF(A52=1,0,G51*'参数'!$B$4)</x:f>
        <x:v>11296601011443394</x:v>
      </x:c>
      <x:c r="S52" s="18" t="n">
        <x:f>IF(A52=1,0,Q52/R52/3600)</x:f>
        <x:v>10.043167407557425</x:v>
      </x:c>
      <x:c r="T52" s="18" t="n">
        <x:f>IF(A52=1,0,SUM($S$2:S52)/24)</x:f>
        <x:v>9.990344814979654</x:v>
      </x:c>
      <x:c r="U52" t="str">
        <x:f>IF(A52=1,"初始羊",IF(AND(E52=1,C52&gt;1),"跨层解锁：需要上一层最终羊×2",IF(P52&gt;=32,"阶段门槛：建议配合广告/随机羊","常规解锁")))</x:f>
        <x:v>常规解锁</x:v>
      </x:c>
    </x:row>
    <x:row r="53">
      <x:c r="A53" t="n">
        <x:v>52</x:v>
      </x:c>
      <x:c r="B53" t="str">
        <x:v>星云羊</x:v>
      </x:c>
      <x:c r="C53" t="n">
        <x:f>ROUNDUP(A53/20,0)</x:f>
        <x:v>3</x:v>
      </x:c>
      <x:c r="D53" t="str">
        <x:f>INDEX('参数'!$E$4:$E$8,MATCH(C53,'参数'!$D$4:$D$8,0))</x:f>
        <x:v>宇宙摸鱼层</x:v>
      </x:c>
      <x:c r="E53" t="n">
        <x:f>MOD(A53-1,20)+1</x:f>
        <x:v>12</x:v>
      </x:c>
      <x:c r="F53" t="n">
        <x:f>IF(A53=1,"-",IF(E53=1,'参数'!$B$10,IF(E53&lt;=5,'参数'!$B$6,IF(E53&lt;=10,'参数'!$B$7,IF(E53&lt;=15,'参数'!$B$8,'参数'!$B$9)))) )</x:f>
        <x:v>2.3</x:v>
      </x:c>
      <x:c r="G53" s="14" t="n">
        <x:f>IF(A53=1,1,IF(E53=1,G52*'参数'!$B$10,G52*F53))</x:f>
        <x:v>746987741881694200</x:v>
      </x:c>
      <x:c r="H53" s="14" t="n">
        <x:f>INDEX('参数'!$F$4:$F$8,MATCH(C53,'参数'!$D$4:$D$8,0))</x:f>
        <x:v>360</x:v>
      </x:c>
      <x:c r="I53" s="14" t="n">
        <x:f>G53*H53</x:f>
        <x:v>268915587077409930000</x:v>
      </x:c>
      <x:c r="J53" s="14" t="str">
        <x:f>"第n次 = 基础购买价 × 所属世界增长倍率^(n-1)"</x:f>
        <x:v>第n次 = 基础购买价 × 所属世界增长倍率^(n-1)</x:v>
      </x:c>
      <x:c r="K53" s="14" t="n">
        <x:f>I53*INDEX('参数'!$G$4:$G$8,MATCH(C53,'参数'!$D$4:$D$8,0))^('参数'!$B$5-1)</x:f>
        <x:v>1.2868817097813658e+21</x:v>
      </x:c>
      <x:c r="L53" t="str">
        <x:f>INDEX('参数'!$I$4:$I$8,MATCH(C53,'参数'!$H$4:$H$8,0))</x:f>
        <x:v>Lv.2</x:v>
      </x:c>
      <x:c r="M53" t="n">
        <x:f>INDEX('参数'!$J$4:$J$8,MATCH(C53,'参数'!$H$4:$H$8,0))</x:f>
        <x:v>3</x:v>
      </x:c>
      <x:c r="N53" t="n">
        <x:f>IF(A53=1,"-",IF(AND(E53=1,C53&gt;1),MAX((C53-2)*20+1,A53-1-INDEX('参数'!$J$4:$J$8,MATCH(C53-1,'参数'!$H$4:$H$8,0))),MAX((C53-1)*20+1,A53-1-M53)))</x:f>
        <x:v>48</x:v>
      </x:c>
      <x:c r="O53" t="str">
        <x:f>IF(A53=1,"-",INDEX($B$2:$B$101,MATCH(N53,$A$2:$A$101,0)))</x:f>
        <x:v>咸鱼羊</x:v>
      </x:c>
      <x:c r="P53" s="16" t="n">
        <x:f>IF(A53=1,0,POWER(2,A53-N53))</x:f>
        <x:v>16</x:v>
      </x:c>
      <x:c r="Q53" s="14" t="n">
        <x:f>IF(A53=1,0,INDEX($I$2:$I$101,MATCH(N53,$A$2:$A$101,0))*(POWER(INDEX('参数'!$G$4:$G$8,MATCH(INDEX($C$2:$C$101,MATCH(N53,$A$2:$A$101,0)),'参数'!$D$4:$D$8,0)),P53)-1)/(INDEX('参数'!$G$4:$G$8,MATCH(INDEX($C$2:$C$101,MATCH(N53,$A$2:$A$101,0)),'参数'!$D$4:$D$8,0))-1))</x:f>
        <x:v>878131290429948000000</x:v>
      </x:c>
      <x:c r="R53" s="14" t="n">
        <x:f>IF(A53=1,0,G52*'参数'!$B$4)</x:f>
        <x:v>25982182326319800</x:v>
      </x:c>
      <x:c r="S53" s="18" t="n">
        <x:f>IF(A53=1,0,Q53/R53/3600)</x:f>
        <x:v>9.388178228803682</x:v>
      </x:c>
      <x:c r="T53" s="18" t="n">
        <x:f>IF(A53=1,0,SUM($S$2:S53)/24)</x:f>
        <x:v>10.381518907846475</x:v>
      </x:c>
      <x:c r="U53" t="str">
        <x:f>IF(A53=1,"初始羊",IF(AND(E53=1,C53&gt;1),"跨层解锁：需要上一层最终羊×2",IF(P53&gt;=32,"阶段门槛：建议配合广告/随机羊","常规解锁")))</x:f>
        <x:v>常规解锁</x:v>
      </x:c>
    </x:row>
    <x:row r="54">
      <x:c r="A54" t="n">
        <x:v>53</x:v>
      </x:c>
      <x:c r="B54" t="str">
        <x:v>暂停羊</x:v>
      </x:c>
      <x:c r="C54" t="n">
        <x:f>ROUNDUP(A54/20,0)</x:f>
        <x:v>3</x:v>
      </x:c>
      <x:c r="D54" t="str">
        <x:f>INDEX('参数'!$E$4:$E$8,MATCH(C54,'参数'!$D$4:$D$8,0))</x:f>
        <x:v>宇宙摸鱼层</x:v>
      </x:c>
      <x:c r="E54" t="n">
        <x:f>MOD(A54-1,20)+1</x:f>
        <x:v>13</x:v>
      </x:c>
      <x:c r="F54" t="n">
        <x:f>IF(A54=1,"-",IF(E54=1,'参数'!$B$10,IF(E54&lt;=5,'参数'!$B$6,IF(E54&lt;=10,'参数'!$B$7,IF(E54&lt;=15,'参数'!$B$8,'参数'!$B$9)))) )</x:f>
        <x:v>2.3</x:v>
      </x:c>
      <x:c r="G54" s="14" t="n">
        <x:f>IF(A54=1,1,IF(E54=1,G53*'参数'!$B$10,G53*F54))</x:f>
        <x:v>1718071806327896600</x:v>
      </x:c>
      <x:c r="H54" s="14" t="n">
        <x:f>INDEX('参数'!$F$4:$F$8,MATCH(C54,'参数'!$D$4:$D$8,0))</x:f>
        <x:v>360</x:v>
      </x:c>
      <x:c r="I54" s="14" t="n">
        <x:f>G54*H54</x:f>
        <x:v>618505850278042800000</x:v>
      </x:c>
      <x:c r="J54" s="14" t="str">
        <x:f>"第n次 = 基础购买价 × 所属世界增长倍率^(n-1)"</x:f>
        <x:v>第n次 = 基础购买价 × 所属世界增长倍率^(n-1)</x:v>
      </x:c>
      <x:c r="K54" s="14" t="n">
        <x:f>I54*INDEX('参数'!$G$4:$G$8,MATCH(C54,'参数'!$D$4:$D$8,0))^('参数'!$B$5-1)</x:f>
        <x:v>2.959827932497141e+21</x:v>
      </x:c>
      <x:c r="L54" t="str">
        <x:f>INDEX('参数'!$I$4:$I$8,MATCH(C54,'参数'!$H$4:$H$8,0))</x:f>
        <x:v>Lv.2</x:v>
      </x:c>
      <x:c r="M54" t="n">
        <x:f>INDEX('参数'!$J$4:$J$8,MATCH(C54,'参数'!$H$4:$H$8,0))</x:f>
        <x:v>3</x:v>
      </x:c>
      <x:c r="N54" t="n">
        <x:f>IF(A54=1,"-",IF(AND(E54=1,C54&gt;1),MAX((C54-2)*20+1,A54-1-INDEX('参数'!$J$4:$J$8,MATCH(C54-1,'参数'!$H$4:$H$8,0))),MAX((C54-1)*20+1,A54-1-M54)))</x:f>
        <x:v>49</x:v>
      </x:c>
      <x:c r="O54" t="str">
        <x:f>IF(A54=1,"-",INDEX($B$2:$B$101,MATCH(N54,$A$2:$A$101,0)))</x:f>
        <x:v>流星羊</x:v>
      </x:c>
      <x:c r="P54" s="16" t="n">
        <x:f>IF(A54=1,0,POWER(2,A54-N54))</x:f>
        <x:v>16</x:v>
      </x:c>
      <x:c r="Q54" s="14" t="n">
        <x:f>IF(A54=1,0,INDEX($I$2:$I$101,MATCH(N54,$A$2:$A$101,0))*(POWER(INDEX('参数'!$G$4:$G$8,MATCH(INDEX($C$2:$C$101,MATCH(N54,$A$2:$A$101,0)),'参数'!$D$4:$D$8,0)),P54)-1)/(INDEX('参数'!$G$4:$G$8,MATCH(INDEX($C$2:$C$101,MATCH(N54,$A$2:$A$101,0)),'参数'!$D$4:$D$8,0))-1))</x:f>
        <x:v>1.887982274424388e+21</x:v>
      </x:c>
      <x:c r="R54" s="14" t="n">
        <x:f>IF(A54=1,0,G53*'参数'!$B$4)</x:f>
        <x:v>59759019350535540</x:v>
      </x:c>
      <x:c r="S54" s="18" t="n">
        <x:f>IF(A54=1,0,Q54/R54/3600)</x:f>
        <x:v>8.775905735620832</x:v>
      </x:c>
      <x:c r="T54" s="18" t="n">
        <x:f>IF(A54=1,0,SUM($S$2:S54)/24)</x:f>
        <x:v>10.747181646830676</x:v>
      </x:c>
      <x:c r="U54" t="str">
        <x:f>IF(A54=1,"初始羊",IF(AND(E54=1,C54&gt;1),"跨层解锁：需要上一层最终羊×2",IF(P54&gt;=32,"阶段门槛：建议配合广告/随机羊","常规解锁")))</x:f>
        <x:v>常规解锁</x:v>
      </x:c>
    </x:row>
    <x:row r="55">
      <x:c r="A55" t="n">
        <x:v>54</x:v>
      </x:c>
      <x:c r="B55" t="str">
        <x:v>摆烂羊神</x:v>
      </x:c>
      <x:c r="C55" t="n">
        <x:f>ROUNDUP(A55/20,0)</x:f>
        <x:v>3</x:v>
      </x:c>
      <x:c r="D55" t="str">
        <x:f>INDEX('参数'!$E$4:$E$8,MATCH(C55,'参数'!$D$4:$D$8,0))</x:f>
        <x:v>宇宙摸鱼层</x:v>
      </x:c>
      <x:c r="E55" t="n">
        <x:f>MOD(A55-1,20)+1</x:f>
        <x:v>14</x:v>
      </x:c>
      <x:c r="F55" t="n">
        <x:f>IF(A55=1,"-",IF(E55=1,'参数'!$B$10,IF(E55&lt;=5,'参数'!$B$6,IF(E55&lt;=10,'参数'!$B$7,IF(E55&lt;=15,'参数'!$B$8,'参数'!$B$9)))) )</x:f>
        <x:v>2.3</x:v>
      </x:c>
      <x:c r="G55" s="14" t="n">
        <x:f>IF(A55=1,1,IF(E55=1,G54*'参数'!$B$10,G54*F55))</x:f>
        <x:v>3951565154554161700</x:v>
      </x:c>
      <x:c r="H55" s="14" t="n">
        <x:f>INDEX('参数'!$F$4:$F$8,MATCH(C55,'参数'!$D$4:$D$8,0))</x:f>
        <x:v>360</x:v>
      </x:c>
      <x:c r="I55" s="14" t="n">
        <x:f>G55*H55</x:f>
        <x:v>1.4225634556394983e+21</x:v>
      </x:c>
      <x:c r="J55" s="14" t="str">
        <x:f>"第n次 = 基础购买价 × 所属世界增长倍率^(n-1)"</x:f>
        <x:v>第n次 = 基础购买价 × 所属世界增长倍率^(n-1)</x:v>
      </x:c>
      <x:c r="K55" s="14" t="n">
        <x:f>I55*INDEX('参数'!$G$4:$G$8,MATCH(C55,'参数'!$D$4:$D$8,0))^('参数'!$B$5-1)</x:f>
        <x:v>6.807604244743423e+21</x:v>
      </x:c>
      <x:c r="L55" t="str">
        <x:f>INDEX('参数'!$I$4:$I$8,MATCH(C55,'参数'!$H$4:$H$8,0))</x:f>
        <x:v>Lv.2</x:v>
      </x:c>
      <x:c r="M55" t="n">
        <x:f>INDEX('参数'!$J$4:$J$8,MATCH(C55,'参数'!$H$4:$H$8,0))</x:f>
        <x:v>3</x:v>
      </x:c>
      <x:c r="N55" t="n">
        <x:f>IF(A55=1,"-",IF(AND(E55=1,C55&gt;1),MAX((C55-2)*20+1,A55-1-INDEX('参数'!$J$4:$J$8,MATCH(C55-1,'参数'!$H$4:$H$8,0))),MAX((C55-1)*20+1,A55-1-M55)))</x:f>
        <x:v>50</x:v>
      </x:c>
      <x:c r="O55" t="str">
        <x:f>IF(A55=1,"-",INDEX($B$2:$B$101,MATCH(N55,$A$2:$A$101,0)))</x:f>
        <x:v>太空羊</x:v>
      </x:c>
      <x:c r="P55" s="16" t="n">
        <x:f>IF(A55=1,0,POWER(2,A55-N55))</x:f>
        <x:v>16</x:v>
      </x:c>
      <x:c r="Q55" s="14" t="n">
        <x:f>IF(A55=1,0,INDEX($I$2:$I$101,MATCH(N55,$A$2:$A$101,0))*(POWER(INDEX('参数'!$G$4:$G$8,MATCH(INDEX($C$2:$C$101,MATCH(N55,$A$2:$A$101,0)),'参数'!$D$4:$D$8,0)),P55)-1)/(INDEX('参数'!$G$4:$G$8,MATCH(INDEX($C$2:$C$101,MATCH(N55,$A$2:$A$101,0)),'参数'!$D$4:$D$8,0))-1))</x:f>
        <x:v>4.059161890012435e+21</x:v>
      </x:c>
      <x:c r="R55" s="14" t="n">
        <x:f>IF(A55=1,0,G54*'参数'!$B$4)</x:f>
        <x:v>137445744506231730</x:v>
      </x:c>
      <x:c r="S55" s="18" t="n">
        <x:f>IF(A55=1,0,Q55/R55/3600)</x:f>
        <x:v>8.20356405721078</x:v>
      </x:c>
      <x:c r="T55" s="18" t="n">
        <x:f>IF(A55=1,0,SUM($S$2:S55)/24)</x:f>
        <x:v>11.088996815881124</x:v>
      </x:c>
      <x:c r="U55" t="str">
        <x:f>IF(A55=1,"初始羊",IF(AND(E55=1,C55&gt;1),"跨层解锁：需要上一层最终羊×2",IF(P55&gt;=32,"阶段门槛：建议配合广告/随机羊","常规解锁")))</x:f>
        <x:v>常规解锁</x:v>
      </x:c>
    </x:row>
    <x:row r="56">
      <x:c r="A56" t="n">
        <x:v>55</x:v>
      </x:c>
      <x:c r="B56" t="str">
        <x:v>月亮羊</x:v>
      </x:c>
      <x:c r="C56" t="n">
        <x:f>ROUNDUP(A56/20,0)</x:f>
        <x:v>3</x:v>
      </x:c>
      <x:c r="D56" t="str">
        <x:f>INDEX('参数'!$E$4:$E$8,MATCH(C56,'参数'!$D$4:$D$8,0))</x:f>
        <x:v>宇宙摸鱼层</x:v>
      </x:c>
      <x:c r="E56" t="n">
        <x:f>MOD(A56-1,20)+1</x:f>
        <x:v>15</x:v>
      </x:c>
      <x:c r="F56" t="n">
        <x:f>IF(A56=1,"-",IF(E56=1,'参数'!$B$10,IF(E56&lt;=5,'参数'!$B$6,IF(E56&lt;=10,'参数'!$B$7,IF(E56&lt;=15,'参数'!$B$8,'参数'!$B$9)))) )</x:f>
        <x:v>2.3</x:v>
      </x:c>
      <x:c r="G56" s="14" t="n">
        <x:f>IF(A56=1,1,IF(E56=1,G55*'参数'!$B$10,G55*F56))</x:f>
        <x:v>9088599855474571000</x:v>
      </x:c>
      <x:c r="H56" s="14" t="n">
        <x:f>INDEX('参数'!$F$4:$F$8,MATCH(C56,'参数'!$D$4:$D$8,0))</x:f>
        <x:v>360</x:v>
      </x:c>
      <x:c r="I56" s="14" t="n">
        <x:f>G56*H56</x:f>
        <x:v>3.2718959479708456e+21</x:v>
      </x:c>
      <x:c r="J56" s="14" t="str">
        <x:f>"第n次 = 基础购买价 × 所属世界增长倍率^(n-1)"</x:f>
        <x:v>第n次 = 基础购买价 × 所属世界增长倍率^(n-1)</x:v>
      </x:c>
      <x:c r="K56" s="14" t="n">
        <x:f>I56*INDEX('参数'!$G$4:$G$8,MATCH(C56,'参数'!$D$4:$D$8,0))^('参数'!$B$5-1)</x:f>
        <x:v>1.565748976290987e+22</x:v>
      </x:c>
      <x:c r="L56" t="str">
        <x:f>INDEX('参数'!$I$4:$I$8,MATCH(C56,'参数'!$H$4:$H$8,0))</x:f>
        <x:v>Lv.2</x:v>
      </x:c>
      <x:c r="M56" t="n">
        <x:f>INDEX('参数'!$J$4:$J$8,MATCH(C56,'参数'!$H$4:$H$8,0))</x:f>
        <x:v>3</x:v>
      </x:c>
      <x:c r="N56" t="n">
        <x:f>IF(A56=1,"-",IF(AND(E56=1,C56&gt;1),MAX((C56-2)*20+1,A56-1-INDEX('参数'!$J$4:$J$8,MATCH(C56-1,'参数'!$H$4:$H$8,0))),MAX((C56-1)*20+1,A56-1-M56)))</x:f>
        <x:v>51</x:v>
      </x:c>
      <x:c r="O56" t="str">
        <x:f>IF(A56=1,"-",INDEX($B$2:$B$101,MATCH(N56,$A$2:$A$101,0)))</x:f>
        <x:v>泡泡宇宙羊</x:v>
      </x:c>
      <x:c r="P56" s="16" t="n">
        <x:f>IF(A56=1,0,POWER(2,A56-N56))</x:f>
        <x:v>16</x:v>
      </x:c>
      <x:c r="Q56" s="14" t="n">
        <x:f>IF(A56=1,0,INDEX($I$2:$I$101,MATCH(N56,$A$2:$A$101,0))*(POWER(INDEX('参数'!$G$4:$G$8,MATCH(INDEX($C$2:$C$101,MATCH(N56,$A$2:$A$101,0)),'参数'!$D$4:$D$8,0)),P56)-1)/(INDEX('参数'!$G$4:$G$8,MATCH(INDEX($C$2:$C$101,MATCH(N56,$A$2:$A$101,0)),'参数'!$D$4:$D$8,0))-1))</x:f>
        <x:v>9.336072347028598e+21</x:v>
      </x:c>
      <x:c r="R56" s="14" t="n">
        <x:f>IF(A56=1,0,G55*'参数'!$B$4)</x:f>
        <x:v>316125212364332900</x:v>
      </x:c>
      <x:c r="S56" s="18" t="n">
        <x:f>IF(A56=1,0,Q56/R56/3600)</x:f>
        <x:v>8.203564057210778</x:v>
      </x:c>
      <x:c r="T56" s="18" t="n">
        <x:f>IF(A56=1,0,SUM($S$2:S56)/24)</x:f>
        <x:v>11.430811984931573</x:v>
      </x:c>
      <x:c r="U56" t="str">
        <x:f>IF(A56=1,"初始羊",IF(AND(E56=1,C56&gt;1),"跨层解锁：需要上一层最终羊×2",IF(P56&gt;=32,"阶段门槛：建议配合广告/随机羊","常规解锁")))</x:f>
        <x:v>常规解锁</x:v>
      </x:c>
    </x:row>
    <x:row r="57">
      <x:c r="A57" t="n">
        <x:v>56</x:v>
      </x:c>
      <x:c r="B57" t="str">
        <x:v>宇宙电视羊</x:v>
      </x:c>
      <x:c r="C57" t="n">
        <x:f>ROUNDUP(A57/20,0)</x:f>
        <x:v>3</x:v>
      </x:c>
      <x:c r="D57" t="str">
        <x:f>INDEX('参数'!$E$4:$E$8,MATCH(C57,'参数'!$D$4:$D$8,0))</x:f>
        <x:v>宇宙摸鱼层</x:v>
      </x:c>
      <x:c r="E57" t="n">
        <x:f>MOD(A57-1,20)+1</x:f>
        <x:v>16</x:v>
      </x:c>
      <x:c r="F57" t="n">
        <x:f>IF(A57=1,"-",IF(E57=1,'参数'!$B$10,IF(E57&lt;=5,'参数'!$B$6,IF(E57&lt;=10,'参数'!$B$7,IF(E57&lt;=15,'参数'!$B$8,'参数'!$B$9)))) )</x:f>
        <x:v>2.5</x:v>
      </x:c>
      <x:c r="G57" s="14" t="n">
        <x:f>IF(A57=1,1,IF(E57=1,G56*'参数'!$B$10,G56*F57))</x:f>
        <x:v>22721499638686430000</x:v>
      </x:c>
      <x:c r="H57" s="14" t="n">
        <x:f>INDEX('参数'!$F$4:$F$8,MATCH(C57,'参数'!$D$4:$D$8,0))</x:f>
        <x:v>360</x:v>
      </x:c>
      <x:c r="I57" s="14" t="n">
        <x:f>G57*H57</x:f>
        <x:v>8.179739869927114e+21</x:v>
      </x:c>
      <x:c r="J57" s="14" t="str">
        <x:f>"第n次 = 基础购买价 × 所属世界增长倍率^(n-1)"</x:f>
        <x:v>第n次 = 基础购买价 × 所属世界增长倍率^(n-1)</x:v>
      </x:c>
      <x:c r="K57" s="14" t="n">
        <x:f>I57*INDEX('参数'!$G$4:$G$8,MATCH(C57,'参数'!$D$4:$D$8,0))^('参数'!$B$5-1)</x:f>
        <x:v>3.914372440727468e+22</x:v>
      </x:c>
      <x:c r="L57" t="str">
        <x:f>INDEX('参数'!$I$4:$I$8,MATCH(C57,'参数'!$H$4:$H$8,0))</x:f>
        <x:v>Lv.2</x:v>
      </x:c>
      <x:c r="M57" t="n">
        <x:f>INDEX('参数'!$J$4:$J$8,MATCH(C57,'参数'!$H$4:$H$8,0))</x:f>
        <x:v>3</x:v>
      </x:c>
      <x:c r="N57" t="n">
        <x:f>IF(A57=1,"-",IF(AND(E57=1,C57&gt;1),MAX((C57-2)*20+1,A57-1-INDEX('参数'!$J$4:$J$8,MATCH(C57-1,'参数'!$H$4:$H$8,0))),MAX((C57-1)*20+1,A57-1-M57)))</x:f>
        <x:v>52</x:v>
      </x:c>
      <x:c r="O57" t="str">
        <x:f>IF(A57=1,"-",INDEX($B$2:$B$101,MATCH(N57,$A$2:$A$101,0)))</x:f>
        <x:v>星云羊</x:v>
      </x:c>
      <x:c r="P57" s="16" t="n">
        <x:f>IF(A57=1,0,POWER(2,A57-N57))</x:f>
        <x:v>16</x:v>
      </x:c>
      <x:c r="Q57" s="14" t="n">
        <x:f>IF(A57=1,0,INDEX($I$2:$I$101,MATCH(N57,$A$2:$A$101,0))*(POWER(INDEX('参数'!$G$4:$G$8,MATCH(INDEX($C$2:$C$101,MATCH(N57,$A$2:$A$101,0)),'参数'!$D$4:$D$8,0)),P57)-1)/(INDEX('参数'!$G$4:$G$8,MATCH(INDEX($C$2:$C$101,MATCH(N57,$A$2:$A$101,0)),'参数'!$D$4:$D$8,0))-1))</x:f>
        <x:v>2.1472966398165773e+22</x:v>
      </x:c>
      <x:c r="R57" s="14" t="n">
        <x:f>IF(A57=1,0,G56*'参数'!$B$4)</x:f>
        <x:v>727087988437965700</x:v>
      </x:c>
      <x:c r="S57" s="18" t="n">
        <x:f>IF(A57=1,0,Q57/R57/3600)</x:f>
        <x:v>8.203564057210778</x:v>
      </x:c>
      <x:c r="T57" s="18" t="n">
        <x:f>IF(A57=1,0,SUM($S$2:S57)/24)</x:f>
        <x:v>11.772627153982022</x:v>
      </x:c>
      <x:c r="U57" t="str">
        <x:f>IF(A57=1,"初始羊",IF(AND(E57=1,C57&gt;1),"跨层解锁：需要上一层最终羊×2",IF(P57&gt;=32,"阶段门槛：建议配合广告/随机羊","常规解锁")))</x:f>
        <x:v>常规解锁</x:v>
      </x:c>
    </x:row>
    <x:row r="58">
      <x:c r="A58" t="n">
        <x:v>57</x:v>
      </x:c>
      <x:c r="B58" t="str">
        <x:v>重力羊</x:v>
      </x:c>
      <x:c r="C58" t="n">
        <x:f>ROUNDUP(A58/20,0)</x:f>
        <x:v>3</x:v>
      </x:c>
      <x:c r="D58" t="str">
        <x:f>INDEX('参数'!$E$4:$E$8,MATCH(C58,'参数'!$D$4:$D$8,0))</x:f>
        <x:v>宇宙摸鱼层</x:v>
      </x:c>
      <x:c r="E58" t="n">
        <x:f>MOD(A58-1,20)+1</x:f>
        <x:v>17</x:v>
      </x:c>
      <x:c r="F58" t="n">
        <x:f>IF(A58=1,"-",IF(E58=1,'参数'!$B$10,IF(E58&lt;=5,'参数'!$B$6,IF(E58&lt;=10,'参数'!$B$7,IF(E58&lt;=15,'参数'!$B$8,'参数'!$B$9)))) )</x:f>
        <x:v>2.5</x:v>
      </x:c>
      <x:c r="G58" s="14" t="n">
        <x:f>IF(A58=1,1,IF(E58=1,G57*'参数'!$B$10,G57*F58))</x:f>
        <x:v>56803749096716075000</x:v>
      </x:c>
      <x:c r="H58" s="14" t="n">
        <x:f>INDEX('参数'!$F$4:$F$8,MATCH(C58,'参数'!$D$4:$D$8,0))</x:f>
        <x:v>360</x:v>
      </x:c>
      <x:c r="I58" s="14" t="n">
        <x:f>G58*H58</x:f>
        <x:v>2.0449349674817787e+22</x:v>
      </x:c>
      <x:c r="J58" s="14" t="str">
        <x:f>"第n次 = 基础购买价 × 所属世界增长倍率^(n-1)"</x:f>
        <x:v>第n次 = 基础购买价 × 所属世界增长倍率^(n-1)</x:v>
      </x:c>
      <x:c r="K58" s="14" t="n">
        <x:f>I58*INDEX('参数'!$G$4:$G$8,MATCH(C58,'参数'!$D$4:$D$8,0))^('参数'!$B$5-1)</x:f>
        <x:v>9.785931101818671e+22</x:v>
      </x:c>
      <x:c r="L58" t="str">
        <x:f>INDEX('参数'!$I$4:$I$8,MATCH(C58,'参数'!$H$4:$H$8,0))</x:f>
        <x:v>Lv.2</x:v>
      </x:c>
      <x:c r="M58" t="n">
        <x:f>INDEX('参数'!$J$4:$J$8,MATCH(C58,'参数'!$H$4:$H$8,0))</x:f>
        <x:v>3</x:v>
      </x:c>
      <x:c r="N58" t="n">
        <x:f>IF(A58=1,"-",IF(AND(E58=1,C58&gt;1),MAX((C58-2)*20+1,A58-1-INDEX('参数'!$J$4:$J$8,MATCH(C58-1,'参数'!$H$4:$H$8,0))),MAX((C58-1)*20+1,A58-1-M58)))</x:f>
        <x:v>53</x:v>
      </x:c>
      <x:c r="O58" t="str">
        <x:f>IF(A58=1,"-",INDEX($B$2:$B$101,MATCH(N58,$A$2:$A$101,0)))</x:f>
        <x:v>暂停羊</x:v>
      </x:c>
      <x:c r="P58" s="16" t="n">
        <x:f>IF(A58=1,0,POWER(2,A58-N58))</x:f>
        <x:v>16</x:v>
      </x:c>
      <x:c r="Q58" s="14" t="n">
        <x:f>IF(A58=1,0,INDEX($I$2:$I$101,MATCH(N58,$A$2:$A$101,0))*(POWER(INDEX('参数'!$G$4:$G$8,MATCH(INDEX($C$2:$C$101,MATCH(N58,$A$2:$A$101,0)),'参数'!$D$4:$D$8,0)),P58)-1)/(INDEX('参数'!$G$4:$G$8,MATCH(INDEX($C$2:$C$101,MATCH(N58,$A$2:$A$101,0)),'参数'!$D$4:$D$8,0))-1))</x:f>
        <x:v>4.938782271578127e+22</x:v>
      </x:c>
      <x:c r="R58" s="14" t="n">
        <x:f>IF(A58=1,0,G57*'参数'!$B$4)</x:f>
        <x:v>1817719971094914300</x:v>
      </x:c>
      <x:c r="S58" s="18" t="n">
        <x:f>IF(A58=1,0,Q58/R58/3600)</x:f>
        <x:v>7.547278932633915</x:v>
      </x:c>
      <x:c r="T58" s="18" t="n">
        <x:f>IF(A58=1,0,SUM($S$2:S58)/24)</x:f>
        <x:v>12.087097109508434</x:v>
      </x:c>
      <x:c r="U58" t="str">
        <x:f>IF(A58=1,"初始羊",IF(AND(E58=1,C58&gt;1),"跨层解锁：需要上一层最终羊×2",IF(P58&gt;=32,"阶段门槛：建议配合广告/随机羊","常规解锁")))</x:f>
        <x:v>常规解锁</x:v>
      </x:c>
    </x:row>
    <x:row r="59">
      <x:c r="A59" t="n">
        <x:v>58</x:v>
      </x:c>
      <x:c r="B59" t="str">
        <x:v>星星眼羊</x:v>
      </x:c>
      <x:c r="C59" t="n">
        <x:f>ROUNDUP(A59/20,0)</x:f>
        <x:v>3</x:v>
      </x:c>
      <x:c r="D59" t="str">
        <x:f>INDEX('参数'!$E$4:$E$8,MATCH(C59,'参数'!$D$4:$D$8,0))</x:f>
        <x:v>宇宙摸鱼层</x:v>
      </x:c>
      <x:c r="E59" t="n">
        <x:f>MOD(A59-1,20)+1</x:f>
        <x:v>18</x:v>
      </x:c>
      <x:c r="F59" t="n">
        <x:f>IF(A59=1,"-",IF(E59=1,'参数'!$B$10,IF(E59&lt;=5,'参数'!$B$6,IF(E59&lt;=10,'参数'!$B$7,IF(E59&lt;=15,'参数'!$B$8,'参数'!$B$9)))) )</x:f>
        <x:v>2.5</x:v>
      </x:c>
      <x:c r="G59" s="14" t="n">
        <x:f>IF(A59=1,1,IF(E59=1,G58*'参数'!$B$10,G58*F59))</x:f>
        <x:v>142009372741790190000</x:v>
      </x:c>
      <x:c r="H59" s="14" t="n">
        <x:f>INDEX('参数'!$F$4:$F$8,MATCH(C59,'参数'!$D$4:$D$8,0))</x:f>
        <x:v>360</x:v>
      </x:c>
      <x:c r="I59" s="14" t="n">
        <x:f>G59*H59</x:f>
        <x:v>5.112337418704447e+22</x:v>
      </x:c>
      <x:c r="J59" s="14" t="str">
        <x:f>"第n次 = 基础购买价 × 所属世界增长倍率^(n-1)"</x:f>
        <x:v>第n次 = 基础购买价 × 所属世界增长倍率^(n-1)</x:v>
      </x:c>
      <x:c r="K59" s="14" t="n">
        <x:f>I59*INDEX('参数'!$G$4:$G$8,MATCH(C59,'参数'!$D$4:$D$8,0))^('参数'!$B$5-1)</x:f>
        <x:v>2.4464827754546678e+23</x:v>
      </x:c>
      <x:c r="L59" t="str">
        <x:f>INDEX('参数'!$I$4:$I$8,MATCH(C59,'参数'!$H$4:$H$8,0))</x:f>
        <x:v>Lv.2</x:v>
      </x:c>
      <x:c r="M59" t="n">
        <x:f>INDEX('参数'!$J$4:$J$8,MATCH(C59,'参数'!$H$4:$H$8,0))</x:f>
        <x:v>3</x:v>
      </x:c>
      <x:c r="N59" t="n">
        <x:f>IF(A59=1,"-",IF(AND(E59=1,C59&gt;1),MAX((C59-2)*20+1,A59-1-INDEX('参数'!$J$4:$J$8,MATCH(C59-1,'参数'!$H$4:$H$8,0))),MAX((C59-1)*20+1,A59-1-M59)))</x:f>
        <x:v>54</x:v>
      </x:c>
      <x:c r="O59" t="str">
        <x:f>IF(A59=1,"-",INDEX($B$2:$B$101,MATCH(N59,$A$2:$A$101,0)))</x:f>
        <x:v>摆烂羊神</x:v>
      </x:c>
      <x:c r="P59" s="16" t="n">
        <x:f>IF(A59=1,0,POWER(2,A59-N59))</x:f>
        <x:v>16</x:v>
      </x:c>
      <x:c r="Q59" s="14" t="n">
        <x:f>IF(A59=1,0,INDEX($I$2:$I$101,MATCH(N59,$A$2:$A$101,0))*(POWER(INDEX('参数'!$G$4:$G$8,MATCH(INDEX($C$2:$C$101,MATCH(N59,$A$2:$A$101,0)),'参数'!$D$4:$D$8,0)),P59)-1)/(INDEX('参数'!$G$4:$G$8,MATCH(INDEX($C$2:$C$101,MATCH(N59,$A$2:$A$101,0)),'参数'!$D$4:$D$8,0))-1))</x:f>
        <x:v>1.1359199224629694e+23</x:v>
      </x:c>
      <x:c r="R59" s="14" t="n">
        <x:f>IF(A59=1,0,G58*'参数'!$B$4)</x:f>
        <x:v>4544299927737286000</x:v>
      </x:c>
      <x:c r="S59" s="18" t="n">
        <x:f>IF(A59=1,0,Q59/R59/3600)</x:f>
        <x:v>6.943496618023201</x:v>
      </x:c>
      <x:c r="T59" s="18" t="n">
        <x:f>IF(A59=1,0,SUM($S$2:S59)/24)</x:f>
        <x:v>12.376409468592733</x:v>
      </x:c>
      <x:c r="U59" t="str">
        <x:f>IF(A59=1,"初始羊",IF(AND(E59=1,C59&gt;1),"跨层解锁：需要上一层最终羊×2",IF(P59&gt;=32,"阶段门槛：建议配合广告/随机羊","常规解锁")))</x:f>
        <x:v>常规解锁</x:v>
      </x:c>
    </x:row>
    <x:row r="60">
      <x:c r="A60" t="n">
        <x:v>59</x:v>
      </x:c>
      <x:c r="B60" t="str">
        <x:v>宇宙终极摸鱼羊</x:v>
      </x:c>
      <x:c r="C60" t="n">
        <x:f>ROUNDUP(A60/20,0)</x:f>
        <x:v>3</x:v>
      </x:c>
      <x:c r="D60" t="str">
        <x:f>INDEX('参数'!$E$4:$E$8,MATCH(C60,'参数'!$D$4:$D$8,0))</x:f>
        <x:v>宇宙摸鱼层</x:v>
      </x:c>
      <x:c r="E60" t="n">
        <x:f>MOD(A60-1,20)+1</x:f>
        <x:v>19</x:v>
      </x:c>
      <x:c r="F60" t="n">
        <x:f>IF(A60=1,"-",IF(E60=1,'参数'!$B$10,IF(E60&lt;=5,'参数'!$B$6,IF(E60&lt;=10,'参数'!$B$7,IF(E60&lt;=15,'参数'!$B$8,'参数'!$B$9)))) )</x:f>
        <x:v>2.5</x:v>
      </x:c>
      <x:c r="G60" s="14" t="n">
        <x:f>IF(A60=1,1,IF(E60=1,G59*'参数'!$B$10,G59*F60))</x:f>
        <x:v>355023431854475440000</x:v>
      </x:c>
      <x:c r="H60" s="14" t="n">
        <x:f>INDEX('参数'!$F$4:$F$8,MATCH(C60,'参数'!$D$4:$D$8,0))</x:f>
        <x:v>360</x:v>
      </x:c>
      <x:c r="I60" s="14" t="n">
        <x:f>G60*H60</x:f>
        <x:v>1.2780843546761115e+23</x:v>
      </x:c>
      <x:c r="J60" s="14" t="str">
        <x:f>"第n次 = 基础购买价 × 所属世界增长倍率^(n-1)"</x:f>
        <x:v>第n次 = 基础购买价 × 所属世界增长倍率^(n-1)</x:v>
      </x:c>
      <x:c r="K60" s="14" t="n">
        <x:f>I60*INDEX('参数'!$G$4:$G$8,MATCH(C60,'参数'!$D$4:$D$8,0))^('参数'!$B$5-1)</x:f>
        <x:v>6.116206938636669e+23</x:v>
      </x:c>
      <x:c r="L60" t="str">
        <x:f>INDEX('参数'!$I$4:$I$8,MATCH(C60,'参数'!$H$4:$H$8,0))</x:f>
        <x:v>Lv.2</x:v>
      </x:c>
      <x:c r="M60" t="n">
        <x:f>INDEX('参数'!$J$4:$J$8,MATCH(C60,'参数'!$H$4:$H$8,0))</x:f>
        <x:v>3</x:v>
      </x:c>
      <x:c r="N60" t="n">
        <x:f>IF(A60=1,"-",IF(AND(E60=1,C60&gt;1),MAX((C60-2)*20+1,A60-1-INDEX('参数'!$J$4:$J$8,MATCH(C60-1,'参数'!$H$4:$H$8,0))),MAX((C60-1)*20+1,A60-1-M60)))</x:f>
        <x:v>55</x:v>
      </x:c>
      <x:c r="O60" t="str">
        <x:f>IF(A60=1,"-",INDEX($B$2:$B$101,MATCH(N60,$A$2:$A$101,0)))</x:f>
        <x:v>月亮羊</x:v>
      </x:c>
      <x:c r="P60" s="16" t="n">
        <x:f>IF(A60=1,0,POWER(2,A60-N60))</x:f>
        <x:v>16</x:v>
      </x:c>
      <x:c r="Q60" s="14" t="n">
        <x:f>IF(A60=1,0,INDEX($I$2:$I$101,MATCH(N60,$A$2:$A$101,0))*(POWER(INDEX('参数'!$G$4:$G$8,MATCH(INDEX($C$2:$C$101,MATCH(N60,$A$2:$A$101,0)),'参数'!$D$4:$D$8,0)),P60)-1)/(INDEX('参数'!$G$4:$G$8,MATCH(INDEX($C$2:$C$101,MATCH(N60,$A$2:$A$101,0)),'参数'!$D$4:$D$8,0))-1))</x:f>
        <x:v>2.612615821664829e+23</x:v>
      </x:c>
      <x:c r="R60" s="14" t="n">
        <x:f>IF(A60=1,0,G59*'参数'!$B$4)</x:f>
        <x:v>11360749819343215000</x:v>
      </x:c>
      <x:c r="S60" s="18" t="n">
        <x:f>IF(A60=1,0,Q60/R60/3600)</x:f>
        <x:v>6.388016888581345</x:v>
      </x:c>
      <x:c r="T60" s="18" t="n">
        <x:f>IF(A60=1,0,SUM($S$2:S60)/24)</x:f>
        <x:v>12.642576838950289</x:v>
      </x:c>
      <x:c r="U60" t="str">
        <x:f>IF(A60=1,"初始羊",IF(AND(E60=1,C60&gt;1),"跨层解锁：需要上一层最终羊×2",IF(P60&gt;=32,"阶段门槛：建议配合广告/随机羊","常规解锁")))</x:f>
        <x:v>常规解锁</x:v>
      </x:c>
    </x:row>
    <x:row r="61">
      <x:c r="A61" t="n">
        <x:v>60</x:v>
      </x:c>
      <x:c r="B61" t="str">
        <x:v>银河觉醒羊</x:v>
      </x:c>
      <x:c r="C61" t="n">
        <x:f>ROUNDUP(A61/20,0)</x:f>
        <x:v>3</x:v>
      </x:c>
      <x:c r="D61" t="str">
        <x:f>INDEX('参数'!$E$4:$E$8,MATCH(C61,'参数'!$D$4:$D$8,0))</x:f>
        <x:v>宇宙摸鱼层</x:v>
      </x:c>
      <x:c r="E61" t="n">
        <x:f>MOD(A61-1,20)+1</x:f>
        <x:v>20</x:v>
      </x:c>
      <x:c r="F61" t="n">
        <x:f>IF(A61=1,"-",IF(E61=1,'参数'!$B$10,IF(E61&lt;=5,'参数'!$B$6,IF(E61&lt;=10,'参数'!$B$7,IF(E61&lt;=15,'参数'!$B$8,'参数'!$B$9)))) )</x:f>
        <x:v>2.5</x:v>
      </x:c>
      <x:c r="G61" s="14" t="n">
        <x:f>IF(A61=1,1,IF(E61=1,G60*'参数'!$B$10,G60*F61))</x:f>
        <x:v>887558579636188600000</x:v>
      </x:c>
      <x:c r="H61" s="14" t="n">
        <x:f>INDEX('参数'!$F$4:$F$8,MATCH(C61,'参数'!$D$4:$D$8,0))</x:f>
        <x:v>360</x:v>
      </x:c>
      <x:c r="I61" s="14" t="n">
        <x:f>G61*H61</x:f>
        <x:v>3.195210886690279e+23</x:v>
      </x:c>
      <x:c r="J61" s="14" t="str">
        <x:f>"第n次 = 基础购买价 × 所属世界增长倍率^(n-1)"</x:f>
        <x:v>第n次 = 基础购买价 × 所属世界增长倍率^(n-1)</x:v>
      </x:c>
      <x:c r="K61" s="14" t="n">
        <x:f>I61*INDEX('参数'!$G$4:$G$8,MATCH(C61,'参数'!$D$4:$D$8,0))^('参数'!$B$5-1)</x:f>
        <x:v>1.5290517346591674e+24</x:v>
      </x:c>
      <x:c r="L61" t="str">
        <x:f>INDEX('参数'!$I$4:$I$8,MATCH(C61,'参数'!$H$4:$H$8,0))</x:f>
        <x:v>Lv.2</x:v>
      </x:c>
      <x:c r="M61" t="n">
        <x:f>INDEX('参数'!$J$4:$J$8,MATCH(C61,'参数'!$H$4:$H$8,0))</x:f>
        <x:v>3</x:v>
      </x:c>
      <x:c r="N61" t="n">
        <x:f>IF(A61=1,"-",IF(AND(E61=1,C61&gt;1),MAX((C61-2)*20+1,A61-1-INDEX('参数'!$J$4:$J$8,MATCH(C61-1,'参数'!$H$4:$H$8,0))),MAX((C61-1)*20+1,A61-1-M61)))</x:f>
        <x:v>56</x:v>
      </x:c>
      <x:c r="O61" t="str">
        <x:f>IF(A61=1,"-",INDEX($B$2:$B$101,MATCH(N61,$A$2:$A$101,0)))</x:f>
        <x:v>宇宙电视羊</x:v>
      </x:c>
      <x:c r="P61" s="16" t="n">
        <x:f>IF(A61=1,0,POWER(2,A61-N61))</x:f>
        <x:v>16</x:v>
      </x:c>
      <x:c r="Q61" s="14" t="n">
        <x:f>IF(A61=1,0,INDEX($I$2:$I$101,MATCH(N61,$A$2:$A$101,0))*(POWER(INDEX('参数'!$G$4:$G$8,MATCH(INDEX($C$2:$C$101,MATCH(N61,$A$2:$A$101,0)),'参数'!$D$4:$D$8,0)),P61)-1)/(INDEX('参数'!$G$4:$G$8,MATCH(INDEX($C$2:$C$101,MATCH(N61,$A$2:$A$101,0)),'参数'!$D$4:$D$8,0))-1))</x:f>
        <x:v>6.531539554162073e+23</x:v>
      </x:c>
      <x:c r="R61" s="14" t="n">
        <x:f>IF(A61=1,0,G60*'参数'!$B$4)</x:f>
        <x:v>28401874548358038000</x:v>
      </x:c>
      <x:c r="S61" s="18" t="n">
        <x:f>IF(A61=1,0,Q61/R61/3600)</x:f>
        <x:v>6.388016888581345</x:v>
      </x:c>
      <x:c r="T61" s="18" t="n">
        <x:f>IF(A61=1,0,SUM($S$2:S61)/24)</x:f>
        <x:v>12.908744209307843</x:v>
      </x:c>
      <x:c r="U61" t="str">
        <x:f>IF(A61=1,"初始羊",IF(AND(E61=1,C61&gt;1),"跨层解锁：需要上一层最终羊×2",IF(P61&gt;=32,"阶段门槛：建议配合广告/随机羊","常规解锁")))</x:f>
        <x:v>常规解锁</x:v>
      </x:c>
    </x:row>
    <x:row r="62">
      <x:c r="A62" t="n">
        <x:v>61</x:v>
      </x:c>
      <x:c r="B62" t="str">
        <x:v>云朵羊神</x:v>
      </x:c>
      <x:c r="C62" t="n">
        <x:f>ROUNDUP(A62/20,0)</x:f>
        <x:v>4</x:v>
      </x:c>
      <x:c r="D62" t="str">
        <x:f>INDEX('参数'!$E$4:$E$8,MATCH(C62,'参数'!$D$4:$D$8,0))</x:f>
        <x:v>神明休息层</x:v>
      </x:c>
      <x:c r="E62" t="n">
        <x:f>MOD(A62-1,20)+1</x:f>
        <x:v>1</x:v>
      </x:c>
      <x:c r="F62" t="n">
        <x:f>IF(A62=1,"-",IF(E62=1,'参数'!$B$10,IF(E62&lt;=5,'参数'!$B$6,IF(E62&lt;=10,'参数'!$B$7,IF(E62&lt;=15,'参数'!$B$8,'参数'!$B$9)))) )</x:f>
        <x:v>3</x:v>
      </x:c>
      <x:c r="G62" s="14" t="n">
        <x:f>IF(A62=1,1,IF(E62=1,G61*'参数'!$B$10,G61*F62))</x:f>
        <x:v>2.6626757389085657e+21</x:v>
      </x:c>
      <x:c r="H62" s="14" t="n">
        <x:f>INDEX('参数'!$F$4:$F$8,MATCH(C62,'参数'!$D$4:$D$8,0))</x:f>
        <x:v>720</x:v>
      </x:c>
      <x:c r="I62" s="14" t="n">
        <x:f>G62*H62</x:f>
        <x:v>1.9171265320141674e+24</x:v>
      </x:c>
      <x:c r="J62" s="14" t="str">
        <x:f>"第n次 = 基础购买价 × 所属世界增长倍率^(n-1)"</x:f>
        <x:v>第n次 = 基础购买价 × 所属世界增长倍率^(n-1)</x:v>
      </x:c>
      <x:c r="K62" s="14" t="n">
        <x:f>I62*INDEX('参数'!$G$4:$G$8,MATCH(C62,'参数'!$D$4:$D$8,0))^('参数'!$B$5-1)</x:f>
        <x:v>1.4283705741272624e+25</x:v>
      </x:c>
      <x:c r="L62" t="str">
        <x:f>INDEX('参数'!$I$4:$I$8,MATCH(C62,'参数'!$H$4:$H$8,0))</x:f>
        <x:v>Lv.3</x:v>
      </x:c>
      <x:c r="M62" t="n">
        <x:f>INDEX('参数'!$J$4:$J$8,MATCH(C62,'参数'!$H$4:$H$8,0))</x:f>
        <x:v>2</x:v>
      </x:c>
      <x:c r="N62" t="n">
        <x:f>IF(A62=1,"-",IF(AND(E62=1,C62&gt;1),MAX((C62-2)*20+1,A62-1-INDEX('参数'!$J$4:$J$8,MATCH(C62-1,'参数'!$H$4:$H$8,0))),MAX((C62-1)*20+1,A62-1-M62)))</x:f>
        <x:v>57</x:v>
      </x:c>
      <x:c r="O62" t="str">
        <x:f>IF(A62=1,"-",INDEX($B$2:$B$101,MATCH(N62,$A$2:$A$101,0)))</x:f>
        <x:v>重力羊</x:v>
      </x:c>
      <x:c r="P62" s="16" t="n">
        <x:f>IF(A62=1,0,POWER(2,A62-N62))</x:f>
        <x:v>16</x:v>
      </x:c>
      <x:c r="Q62" s="14" t="n">
        <x:f>IF(A62=1,0,INDEX($I$2:$I$101,MATCH(N62,$A$2:$A$101,0))*(POWER(INDEX('参数'!$G$4:$G$8,MATCH(INDEX($C$2:$C$101,MATCH(N62,$A$2:$A$101,0)),'参数'!$D$4:$D$8,0)),P62)-1)/(INDEX('参数'!$G$4:$G$8,MATCH(INDEX($C$2:$C$101,MATCH(N62,$A$2:$A$101,0)),'参数'!$D$4:$D$8,0))-1))</x:f>
        <x:v>1.6328848885405184e+24</x:v>
      </x:c>
      <x:c r="R62" s="14" t="n">
        <x:f>IF(A62=1,0,G61*'参数'!$B$4)</x:f>
        <x:v>71004686370895090000</x:v>
      </x:c>
      <x:c r="S62" s="18" t="n">
        <x:f>IF(A62=1,0,Q62/R62/3600)</x:f>
        <x:v>6.388016888581346</x:v>
      </x:c>
      <x:c r="T62" s="18" t="n">
        <x:f>IF(A62=1,0,SUM($S$2:S62)/24)</x:f>
        <x:v>13.174911579665398</x:v>
      </x:c>
      <x:c r="U62" t="str">
        <x:f>IF(A62=1,"初始羊",IF(AND(E62=1,C62&gt;1),"跨层解锁：需要上一层最终羊×2",IF(P62&gt;=32,"阶段门槛：建议配合广告/随机羊","常规解锁")))</x:f>
        <x:v>跨层解锁：需要上一层最终羊×2</x:v>
      </x:c>
    </x:row>
    <x:row r="63">
      <x:c r="A63" t="n">
        <x:v>62</x:v>
      </x:c>
      <x:c r="B63" t="str">
        <x:v>奶茶羊神</x:v>
      </x:c>
      <x:c r="C63" t="n">
        <x:f>ROUNDUP(A63/20,0)</x:f>
        <x:v>4</x:v>
      </x:c>
      <x:c r="D63" t="str">
        <x:f>INDEX('参数'!$E$4:$E$8,MATCH(C63,'参数'!$D$4:$D$8,0))</x:f>
        <x:v>神明休息层</x:v>
      </x:c>
      <x:c r="E63" t="n">
        <x:f>MOD(A63-1,20)+1</x:f>
        <x:v>2</x:v>
      </x:c>
      <x:c r="F63" t="n">
        <x:f>IF(A63=1,"-",IF(E63=1,'参数'!$B$10,IF(E63&lt;=5,'参数'!$B$6,IF(E63&lt;=10,'参数'!$B$7,IF(E63&lt;=15,'参数'!$B$8,'参数'!$B$9)))) )</x:f>
        <x:v>2</x:v>
      </x:c>
      <x:c r="G63" s="14" t="n">
        <x:f>IF(A63=1,1,IF(E63=1,G62*'参数'!$B$10,G62*F63))</x:f>
        <x:v>5.325351477817131e+21</x:v>
      </x:c>
      <x:c r="H63" s="14" t="n">
        <x:f>INDEX('参数'!$F$4:$F$8,MATCH(C63,'参数'!$D$4:$D$8,0))</x:f>
        <x:v>720</x:v>
      </x:c>
      <x:c r="I63" s="14" t="n">
        <x:f>G63*H63</x:f>
        <x:v>3.834253064028335e+24</x:v>
      </x:c>
      <x:c r="J63" s="14" t="str">
        <x:f>"第n次 = 基础购买价 × 所属世界增长倍率^(n-1)"</x:f>
        <x:v>第n次 = 基础购买价 × 所属世界增长倍率^(n-1)</x:v>
      </x:c>
      <x:c r="K63" s="14" t="n">
        <x:f>I63*INDEX('参数'!$G$4:$G$8,MATCH(C63,'参数'!$D$4:$D$8,0))^('参数'!$B$5-1)</x:f>
        <x:v>2.8567411482545248e+25</x:v>
      </x:c>
      <x:c r="L63" t="str">
        <x:f>INDEX('参数'!$I$4:$I$8,MATCH(C63,'参数'!$H$4:$H$8,0))</x:f>
        <x:v>Lv.3</x:v>
      </x:c>
      <x:c r="M63" t="n">
        <x:f>INDEX('参数'!$J$4:$J$8,MATCH(C63,'参数'!$H$4:$H$8,0))</x:f>
        <x:v>2</x:v>
      </x:c>
      <x:c r="N63" t="n">
        <x:f>IF(A63=1,"-",IF(AND(E63=1,C63&gt;1),MAX((C63-2)*20+1,A63-1-INDEX('参数'!$J$4:$J$8,MATCH(C63-1,'参数'!$H$4:$H$8,0))),MAX((C63-1)*20+1,A63-1-M63)))</x:f>
        <x:v>61</x:v>
      </x:c>
      <x:c r="O63" t="str">
        <x:f>IF(A63=1,"-",INDEX($B$2:$B$101,MATCH(N63,$A$2:$A$101,0)))</x:f>
        <x:v>云朵羊神</x:v>
      </x:c>
      <x:c r="P63" s="16" t="n">
        <x:f>IF(A63=1,0,POWER(2,A63-N63))</x:f>
        <x:v>2</x:v>
      </x:c>
      <x:c r="Q63" s="14" t="n">
        <x:f>IF(A63=1,0,INDEX($I$2:$I$101,MATCH(N63,$A$2:$A$101,0))*(POWER(INDEX('参数'!$G$4:$G$8,MATCH(INDEX($C$2:$C$101,MATCH(N63,$A$2:$A$101,0)),'参数'!$D$4:$D$8,0)),P63)-1)/(INDEX('参数'!$G$4:$G$8,MATCH(INDEX($C$2:$C$101,MATCH(N63,$A$2:$A$101,0)),'参数'!$D$4:$D$8,0))-1))</x:f>
        <x:v>4.3135346970318767e+24</x:v>
      </x:c>
      <x:c r="R63" s="14" t="n">
        <x:f>IF(A63=1,0,G62*'参数'!$B$4)</x:f>
        <x:v>213014059112685270000</x:v>
      </x:c>
      <x:c r="S63" s="18" t="n">
        <x:f>IF(A63=1,0,Q63/R63/3600)</x:f>
        <x:v>5.625</x:v>
      </x:c>
      <x:c r="T63" s="18" t="n">
        <x:f>IF(A63=1,0,SUM($S$2:S63)/24)</x:f>
        <x:v>13.409286579665398</x:v>
      </x:c>
      <x:c r="U63" t="str">
        <x:f>IF(A63=1,"初始羊",IF(AND(E63=1,C63&gt;1),"跨层解锁：需要上一层最终羊×2",IF(P63&gt;=32,"阶段门槛：建议配合广告/随机羊","常规解锁")))</x:f>
        <x:v>常规解锁</x:v>
      </x:c>
    </x:row>
    <x:row r="64">
      <x:c r="A64" t="n">
        <x:v>63</x:v>
      </x:c>
      <x:c r="B64" t="str">
        <x:v>午睡羊神</x:v>
      </x:c>
      <x:c r="C64" t="n">
        <x:f>ROUNDUP(A64/20,0)</x:f>
        <x:v>4</x:v>
      </x:c>
      <x:c r="D64" t="str">
        <x:f>INDEX('参数'!$E$4:$E$8,MATCH(C64,'参数'!$D$4:$D$8,0))</x:f>
        <x:v>神明休息层</x:v>
      </x:c>
      <x:c r="E64" t="n">
        <x:f>MOD(A64-1,20)+1</x:f>
        <x:v>3</x:v>
      </x:c>
      <x:c r="F64" t="n">
        <x:f>IF(A64=1,"-",IF(E64=1,'参数'!$B$10,IF(E64&lt;=5,'参数'!$B$6,IF(E64&lt;=10,'参数'!$B$7,IF(E64&lt;=15,'参数'!$B$8,'参数'!$B$9)))) )</x:f>
        <x:v>2</x:v>
      </x:c>
      <x:c r="G64" s="14" t="n">
        <x:f>IF(A64=1,1,IF(E64=1,G63*'参数'!$B$10,G63*F64))</x:f>
        <x:v>1.0650702955634263e+22</x:v>
      </x:c>
      <x:c r="H64" s="14" t="n">
        <x:f>INDEX('参数'!$F$4:$F$8,MATCH(C64,'参数'!$D$4:$D$8,0))</x:f>
        <x:v>720</x:v>
      </x:c>
      <x:c r="I64" s="14" t="n">
        <x:f>G64*H64</x:f>
        <x:v>7.66850612805667e+24</x:v>
      </x:c>
      <x:c r="J64" s="14" t="str">
        <x:f>"第n次 = 基础购买价 × 所属世界增长倍率^(n-1)"</x:f>
        <x:v>第n次 = 基础购买价 × 所属世界增长倍率^(n-1)</x:v>
      </x:c>
      <x:c r="K64" s="14" t="n">
        <x:f>I64*INDEX('参数'!$G$4:$G$8,MATCH(C64,'参数'!$D$4:$D$8,0))^('参数'!$B$5-1)</x:f>
        <x:v>5.7134822965090495e+25</x:v>
      </x:c>
      <x:c r="L64" t="str">
        <x:f>INDEX('参数'!$I$4:$I$8,MATCH(C64,'参数'!$H$4:$H$8,0))</x:f>
        <x:v>Lv.3</x:v>
      </x:c>
      <x:c r="M64" t="n">
        <x:f>INDEX('参数'!$J$4:$J$8,MATCH(C64,'参数'!$H$4:$H$8,0))</x:f>
        <x:v>2</x:v>
      </x:c>
      <x:c r="N64" t="n">
        <x:f>IF(A64=1,"-",IF(AND(E64=1,C64&gt;1),MAX((C64-2)*20+1,A64-1-INDEX('参数'!$J$4:$J$8,MATCH(C64-1,'参数'!$H$4:$H$8,0))),MAX((C64-1)*20+1,A64-1-M64)))</x:f>
        <x:v>61</x:v>
      </x:c>
      <x:c r="O64" t="str">
        <x:f>IF(A64=1,"-",INDEX($B$2:$B$101,MATCH(N64,$A$2:$A$101,0)))</x:f>
        <x:v>云朵羊神</x:v>
      </x:c>
      <x:c r="P64" s="16" t="n">
        <x:f>IF(A64=1,0,POWER(2,A64-N64))</x:f>
        <x:v>4</x:v>
      </x:c>
      <x:c r="Q64" s="14" t="n">
        <x:f>IF(A64=1,0,INDEX($I$2:$I$101,MATCH(N64,$A$2:$A$101,0))*(POWER(INDEX('参数'!$G$4:$G$8,MATCH(INDEX($C$2:$C$101,MATCH(N64,$A$2:$A$101,0)),'参数'!$D$4:$D$8,0)),P64)-1)/(INDEX('参数'!$G$4:$G$8,MATCH(INDEX($C$2:$C$101,MATCH(N64,$A$2:$A$101,0)),'参数'!$D$4:$D$8,0))-1))</x:f>
        <x:v>1.1053432661144184e+25</x:v>
      </x:c>
      <x:c r="R64" s="14" t="n">
        <x:f>IF(A64=1,0,G63*'参数'!$B$4)</x:f>
        <x:v>426028118225370550000</x:v>
      </x:c>
      <x:c r="S64" s="18" t="n">
        <x:f>IF(A64=1,0,Q64/R64/3600)</x:f>
        <x:v>7.20703125</x:v>
      </x:c>
      <x:c r="T64" s="18" t="n">
        <x:f>IF(A64=1,0,SUM($S$2:S64)/24)</x:f>
        <x:v>13.709579548415398</x:v>
      </x:c>
      <x:c r="U64" t="str">
        <x:f>IF(A64=1,"初始羊",IF(AND(E64=1,C64&gt;1),"跨层解锁：需要上一层最终羊×2",IF(P64&gt;=32,"阶段门槛：建议配合广告/随机羊","常规解锁")))</x:f>
        <x:v>常规解锁</x:v>
      </x:c>
    </x:row>
    <x:row r="65">
      <x:c r="A65" t="n">
        <x:v>64</x:v>
      </x:c>
      <x:c r="B65" t="str">
        <x:v>光环羊</x:v>
      </x:c>
      <x:c r="C65" t="n">
        <x:f>ROUNDUP(A65/20,0)</x:f>
        <x:v>4</x:v>
      </x:c>
      <x:c r="D65" t="str">
        <x:f>INDEX('参数'!$E$4:$E$8,MATCH(C65,'参数'!$D$4:$D$8,0))</x:f>
        <x:v>神明休息层</x:v>
      </x:c>
      <x:c r="E65" t="n">
        <x:f>MOD(A65-1,20)+1</x:f>
        <x:v>4</x:v>
      </x:c>
      <x:c r="F65" t="n">
        <x:f>IF(A65=1,"-",IF(E65=1,'参数'!$B$10,IF(E65&lt;=5,'参数'!$B$6,IF(E65&lt;=10,'参数'!$B$7,IF(E65&lt;=15,'参数'!$B$8,'参数'!$B$9)))) )</x:f>
        <x:v>2</x:v>
      </x:c>
      <x:c r="G65" s="14" t="n">
        <x:f>IF(A65=1,1,IF(E65=1,G64*'参数'!$B$10,G64*F65))</x:f>
        <x:v>2.1301405911268526e+22</x:v>
      </x:c>
      <x:c r="H65" s="14" t="n">
        <x:f>INDEX('参数'!$F$4:$F$8,MATCH(C65,'参数'!$D$4:$D$8,0))</x:f>
        <x:v>720</x:v>
      </x:c>
      <x:c r="I65" s="14" t="n">
        <x:f>G65*H65</x:f>
        <x:v>1.533701225611334e+25</x:v>
      </x:c>
      <x:c r="J65" s="14" t="str">
        <x:f>"第n次 = 基础购买价 × 所属世界增长倍率^(n-1)"</x:f>
        <x:v>第n次 = 基础购买价 × 所属世界增长倍率^(n-1)</x:v>
      </x:c>
      <x:c r="K65" s="14" t="n">
        <x:f>I65*INDEX('参数'!$G$4:$G$8,MATCH(C65,'参数'!$D$4:$D$8,0))^('参数'!$B$5-1)</x:f>
        <x:v>1.1426964593018099e+26</x:v>
      </x:c>
      <x:c r="L65" t="str">
        <x:f>INDEX('参数'!$I$4:$I$8,MATCH(C65,'参数'!$H$4:$H$8,0))</x:f>
        <x:v>Lv.3</x:v>
      </x:c>
      <x:c r="M65" t="n">
        <x:f>INDEX('参数'!$J$4:$J$8,MATCH(C65,'参数'!$H$4:$H$8,0))</x:f>
        <x:v>2</x:v>
      </x:c>
      <x:c r="N65" t="n">
        <x:f>IF(A65=1,"-",IF(AND(E65=1,C65&gt;1),MAX((C65-2)*20+1,A65-1-INDEX('参数'!$J$4:$J$8,MATCH(C65-1,'参数'!$H$4:$H$8,0))),MAX((C65-1)*20+1,A65-1-M65)))</x:f>
        <x:v>61</x:v>
      </x:c>
      <x:c r="O65" t="str">
        <x:f>IF(A65=1,"-",INDEX($B$2:$B$101,MATCH(N65,$A$2:$A$101,0)))</x:f>
        <x:v>云朵羊神</x:v>
      </x:c>
      <x:c r="P65" s="16" t="n">
        <x:f>IF(A65=1,0,POWER(2,A65-N65))</x:f>
        <x:v>8</x:v>
      </x:c>
      <x:c r="Q65" s="14" t="n">
        <x:f>IF(A65=1,0,INDEX($I$2:$I$101,MATCH(N65,$A$2:$A$101,0))*(POWER(INDEX('参数'!$G$4:$G$8,MATCH(INDEX($C$2:$C$101,MATCH(N65,$A$2:$A$101,0)),'参数'!$D$4:$D$8,0)),P65)-1)/(INDEX('参数'!$G$4:$G$8,MATCH(INDEX($C$2:$C$101,MATCH(N65,$A$2:$A$101,0)),'参数'!$D$4:$D$8,0))-1))</x:f>
        <x:v>3.803935224401573e+25</x:v>
      </x:c>
      <x:c r="R65" s="14" t="n">
        <x:f>IF(A65=1,0,G64*'参数'!$B$4)</x:f>
        <x:v>852056236450741100000</x:v>
      </x:c>
      <x:c r="S65" s="18" t="n">
        <x:f>IF(A65=1,0,Q65/R65/3600)</x:f>
        <x:v>12.401161193847656</x:v>
      </x:c>
      <x:c r="T65" s="18" t="n">
        <x:f>IF(A65=1,0,SUM($S$2:S65)/24)</x:f>
        <x:v>14.22629459815905</x:v>
      </x:c>
      <x:c r="U65" t="str">
        <x:f>IF(A65=1,"初始羊",IF(AND(E65=1,C65&gt;1),"跨层解锁：需要上一层最终羊×2",IF(P65&gt;=32,"阶段门槛：建议配合广告/随机羊","常规解锁")))</x:f>
        <x:v>常规解锁</x:v>
      </x:c>
    </x:row>
    <x:row r="66">
      <x:c r="A66" t="n">
        <x:v>65</x:v>
      </x:c>
      <x:c r="B66" t="str">
        <x:v>许愿羊</x:v>
      </x:c>
      <x:c r="C66" t="n">
        <x:f>ROUNDUP(A66/20,0)</x:f>
        <x:v>4</x:v>
      </x:c>
      <x:c r="D66" t="str">
        <x:f>INDEX('参数'!$E$4:$E$8,MATCH(C66,'参数'!$D$4:$D$8,0))</x:f>
        <x:v>神明休息层</x:v>
      </x:c>
      <x:c r="E66" t="n">
        <x:f>MOD(A66-1,20)+1</x:f>
        <x:v>5</x:v>
      </x:c>
      <x:c r="F66" t="n">
        <x:f>IF(A66=1,"-",IF(E66=1,'参数'!$B$10,IF(E66&lt;=5,'参数'!$B$6,IF(E66&lt;=10,'参数'!$B$7,IF(E66&lt;=15,'参数'!$B$8,'参数'!$B$9)))) )</x:f>
        <x:v>2</x:v>
      </x:c>
      <x:c r="G66" s="14" t="n">
        <x:f>IF(A66=1,1,IF(E66=1,G65*'参数'!$B$10,G65*F66))</x:f>
        <x:v>4.260281182253705e+22</x:v>
      </x:c>
      <x:c r="H66" s="14" t="n">
        <x:f>INDEX('参数'!$F$4:$F$8,MATCH(C66,'参数'!$D$4:$D$8,0))</x:f>
        <x:v>720</x:v>
      </x:c>
      <x:c r="I66" s="14" t="n">
        <x:f>G66*H66</x:f>
        <x:v>3.067402451222668e+25</x:v>
      </x:c>
      <x:c r="J66" s="14" t="str">
        <x:f>"第n次 = 基础购买价 × 所属世界增长倍率^(n-1)"</x:f>
        <x:v>第n次 = 基础购买价 × 所属世界增长倍率^(n-1)</x:v>
      </x:c>
      <x:c r="K66" s="14" t="n">
        <x:f>I66*INDEX('参数'!$G$4:$G$8,MATCH(C66,'参数'!$D$4:$D$8,0))^('参数'!$B$5-1)</x:f>
        <x:v>2.2853929186036198e+26</x:v>
      </x:c>
      <x:c r="L66" t="str">
        <x:f>INDEX('参数'!$I$4:$I$8,MATCH(C66,'参数'!$H$4:$H$8,0))</x:f>
        <x:v>Lv.3</x:v>
      </x:c>
      <x:c r="M66" t="n">
        <x:f>INDEX('参数'!$J$4:$J$8,MATCH(C66,'参数'!$H$4:$H$8,0))</x:f>
        <x:v>2</x:v>
      </x:c>
      <x:c r="N66" t="n">
        <x:f>IF(A66=1,"-",IF(AND(E66=1,C66&gt;1),MAX((C66-2)*20+1,A66-1-INDEX('参数'!$J$4:$J$8,MATCH(C66-1,'参数'!$H$4:$H$8,0))),MAX((C66-1)*20+1,A66-1-M66)))</x:f>
        <x:v>62</x:v>
      </x:c>
      <x:c r="O66" t="str">
        <x:f>IF(A66=1,"-",INDEX($B$2:$B$101,MATCH(N66,$A$2:$A$101,0)))</x:f>
        <x:v>奶茶羊神</x:v>
      </x:c>
      <x:c r="P66" s="16" t="n">
        <x:f>IF(A66=1,0,POWER(2,A66-N66))</x:f>
        <x:v>8</x:v>
      </x:c>
      <x:c r="Q66" s="14" t="n">
        <x:f>IF(A66=1,0,INDEX($I$2:$I$101,MATCH(N66,$A$2:$A$101,0))*(POWER(INDEX('参数'!$G$4:$G$8,MATCH(INDEX($C$2:$C$101,MATCH(N66,$A$2:$A$101,0)),'参数'!$D$4:$D$8,0)),P66)-1)/(INDEX('参数'!$G$4:$G$8,MATCH(INDEX($C$2:$C$101,MATCH(N66,$A$2:$A$101,0)),'参数'!$D$4:$D$8,0))-1))</x:f>
        <x:v>7.607870448803146e+25</x:v>
      </x:c>
      <x:c r="R66" s="14" t="n">
        <x:f>IF(A66=1,0,G65*'参数'!$B$4)</x:f>
        <x:v>1.7041124729014822e+21</x:v>
      </x:c>
      <x:c r="S66" s="18" t="n">
        <x:f>IF(A66=1,0,Q66/R66/3600)</x:f>
        <x:v>12.401161193847656</x:v>
      </x:c>
      <x:c r="T66" s="18" t="n">
        <x:f>IF(A66=1,0,SUM($S$2:S66)/24)</x:f>
        <x:v>14.743009647902703</x:v>
      </x:c>
      <x:c r="U66" t="str">
        <x:f>IF(A66=1,"初始羊",IF(AND(E66=1,C66&gt;1),"跨层解锁：需要上一层最终羊×2",IF(P66&gt;=32,"阶段门槛：建议配合广告/随机羊","常规解锁")))</x:f>
        <x:v>常规解锁</x:v>
      </x:c>
    </x:row>
    <x:row r="67">
      <x:c r="A67" t="n">
        <x:v>66</x:v>
      </x:c>
      <x:c r="B67" t="str">
        <x:v>佛系羊</x:v>
      </x:c>
      <x:c r="C67" t="n">
        <x:f>ROUNDUP(A67/20,0)</x:f>
        <x:v>4</x:v>
      </x:c>
      <x:c r="D67" t="str">
        <x:f>INDEX('参数'!$E$4:$E$8,MATCH(C67,'参数'!$D$4:$D$8,0))</x:f>
        <x:v>神明休息层</x:v>
      </x:c>
      <x:c r="E67" t="n">
        <x:f>MOD(A67-1,20)+1</x:f>
        <x:v>6</x:v>
      </x:c>
      <x:c r="F67" t="n">
        <x:f>IF(A67=1,"-",IF(E67=1,'参数'!$B$10,IF(E67&lt;=5,'参数'!$B$6,IF(E67&lt;=10,'参数'!$B$7,IF(E67&lt;=15,'参数'!$B$8,'参数'!$B$9)))) )</x:f>
        <x:v>2.15</x:v>
      </x:c>
      <x:c r="G67" s="14" t="n">
        <x:f>IF(A67=1,1,IF(E67=1,G66*'参数'!$B$10,G66*F67))</x:f>
        <x:v>9.159604541845466e+22</x:v>
      </x:c>
      <x:c r="H67" s="14" t="n">
        <x:f>INDEX('参数'!$F$4:$F$8,MATCH(C67,'参数'!$D$4:$D$8,0))</x:f>
        <x:v>720</x:v>
      </x:c>
      <x:c r="I67" s="14" t="n">
        <x:f>G67*H67</x:f>
        <x:v>6.594915270128736e+25</x:v>
      </x:c>
      <x:c r="J67" s="14" t="str">
        <x:f>"第n次 = 基础购买价 × 所属世界增长倍率^(n-1)"</x:f>
        <x:v>第n次 = 基础购买价 × 所属世界增长倍率^(n-1)</x:v>
      </x:c>
      <x:c r="K67" s="14" t="n">
        <x:f>I67*INDEX('参数'!$G$4:$G$8,MATCH(C67,'参数'!$D$4:$D$8,0))^('参数'!$B$5-1)</x:f>
        <x:v>4.913594774997782e+26</x:v>
      </x:c>
      <x:c r="L67" t="str">
        <x:f>INDEX('参数'!$I$4:$I$8,MATCH(C67,'参数'!$H$4:$H$8,0))</x:f>
        <x:v>Lv.3</x:v>
      </x:c>
      <x:c r="M67" t="n">
        <x:f>INDEX('参数'!$J$4:$J$8,MATCH(C67,'参数'!$H$4:$H$8,0))</x:f>
        <x:v>2</x:v>
      </x:c>
      <x:c r="N67" t="n">
        <x:f>IF(A67=1,"-",IF(AND(E67=1,C67&gt;1),MAX((C67-2)*20+1,A67-1-INDEX('参数'!$J$4:$J$8,MATCH(C67-1,'参数'!$H$4:$H$8,0))),MAX((C67-1)*20+1,A67-1-M67)))</x:f>
        <x:v>63</x:v>
      </x:c>
      <x:c r="O67" t="str">
        <x:f>IF(A67=1,"-",INDEX($B$2:$B$101,MATCH(N67,$A$2:$A$101,0)))</x:f>
        <x:v>午睡羊神</x:v>
      </x:c>
      <x:c r="P67" s="16" t="n">
        <x:f>IF(A67=1,0,POWER(2,A67-N67))</x:f>
        <x:v>8</x:v>
      </x:c>
      <x:c r="Q67" s="14" t="n">
        <x:f>IF(A67=1,0,INDEX($I$2:$I$101,MATCH(N67,$A$2:$A$101,0))*(POWER(INDEX('参数'!$G$4:$G$8,MATCH(INDEX($C$2:$C$101,MATCH(N67,$A$2:$A$101,0)),'参数'!$D$4:$D$8,0)),P67)-1)/(INDEX('参数'!$G$4:$G$8,MATCH(INDEX($C$2:$C$101,MATCH(N67,$A$2:$A$101,0)),'参数'!$D$4:$D$8,0))-1))</x:f>
        <x:v>1.5215740897606291e+26</x:v>
      </x:c>
      <x:c r="R67" s="14" t="n">
        <x:f>IF(A67=1,0,G66*'参数'!$B$4)</x:f>
        <x:v>3.4082249458029644e+21</x:v>
      </x:c>
      <x:c r="S67" s="18" t="n">
        <x:f>IF(A67=1,0,Q67/R67/3600)</x:f>
        <x:v>12.401161193847656</x:v>
      </x:c>
      <x:c r="T67" s="18" t="n">
        <x:f>IF(A67=1,0,SUM($S$2:S67)/24)</x:f>
        <x:v>15.259724697646355</x:v>
      </x:c>
      <x:c r="U67" t="str">
        <x:f>IF(A67=1,"初始羊",IF(AND(E67=1,C67&gt;1),"跨层解锁：需要上一层最终羊×2",IF(P67&gt;=32,"阶段门槛：建议配合广告/随机羊","常规解锁")))</x:f>
        <x:v>常规解锁</x:v>
      </x:c>
    </x:row>
    <x:row r="68">
      <x:c r="A68" t="n">
        <x:v>67</x:v>
      </x:c>
      <x:c r="B68" t="str">
        <x:v>沙发羊神</x:v>
      </x:c>
      <x:c r="C68" t="n">
        <x:f>ROUNDUP(A68/20,0)</x:f>
        <x:v>4</x:v>
      </x:c>
      <x:c r="D68" t="str">
        <x:f>INDEX('参数'!$E$4:$E$8,MATCH(C68,'参数'!$D$4:$D$8,0))</x:f>
        <x:v>神明休息层</x:v>
      </x:c>
      <x:c r="E68" t="n">
        <x:f>MOD(A68-1,20)+1</x:f>
        <x:v>7</x:v>
      </x:c>
      <x:c r="F68" t="n">
        <x:f>IF(A68=1,"-",IF(E68=1,'参数'!$B$10,IF(E68&lt;=5,'参数'!$B$6,IF(E68&lt;=10,'参数'!$B$7,IF(E68&lt;=15,'参数'!$B$8,'参数'!$B$9)))) )</x:f>
        <x:v>2.15</x:v>
      </x:c>
      <x:c r="G68" s="14" t="n">
        <x:f>IF(A68=1,1,IF(E68=1,G67*'参数'!$B$10,G67*F68))</x:f>
        <x:v>1.969314976496775e+23</x:v>
      </x:c>
      <x:c r="H68" s="14" t="n">
        <x:f>INDEX('参数'!$F$4:$F$8,MATCH(C68,'参数'!$D$4:$D$8,0))</x:f>
        <x:v>720</x:v>
      </x:c>
      <x:c r="I68" s="14" t="n">
        <x:f>G68*H68</x:f>
        <x:v>1.417906783077678e+26</x:v>
      </x:c>
      <x:c r="J68" s="14" t="str">
        <x:f>"第n次 = 基础购买价 × 所属世界增长倍率^(n-1)"</x:f>
        <x:v>第n次 = 基础购买价 × 所属世界增长倍率^(n-1)</x:v>
      </x:c>
      <x:c r="K68" s="14" t="n">
        <x:f>I68*INDEX('参数'!$G$4:$G$8,MATCH(C68,'参数'!$D$4:$D$8,0))^('参数'!$B$5-1)</x:f>
        <x:v>1.0564228766245231e+27</x:v>
      </x:c>
      <x:c r="L68" t="str">
        <x:f>INDEX('参数'!$I$4:$I$8,MATCH(C68,'参数'!$H$4:$H$8,0))</x:f>
        <x:v>Lv.3</x:v>
      </x:c>
      <x:c r="M68" t="n">
        <x:f>INDEX('参数'!$J$4:$J$8,MATCH(C68,'参数'!$H$4:$H$8,0))</x:f>
        <x:v>2</x:v>
      </x:c>
      <x:c r="N68" t="n">
        <x:f>IF(A68=1,"-",IF(AND(E68=1,C68&gt;1),MAX((C68-2)*20+1,A68-1-INDEX('参数'!$J$4:$J$8,MATCH(C68-1,'参数'!$H$4:$H$8,0))),MAX((C68-1)*20+1,A68-1-M68)))</x:f>
        <x:v>64</x:v>
      </x:c>
      <x:c r="O68" t="str">
        <x:f>IF(A68=1,"-",INDEX($B$2:$B$101,MATCH(N68,$A$2:$A$101,0)))</x:f>
        <x:v>光环羊</x:v>
      </x:c>
      <x:c r="P68" s="16" t="n">
        <x:f>IF(A68=1,0,POWER(2,A68-N68))</x:f>
        <x:v>8</x:v>
      </x:c>
      <x:c r="Q68" s="14" t="n">
        <x:f>IF(A68=1,0,INDEX($I$2:$I$101,MATCH(N68,$A$2:$A$101,0))*(POWER(INDEX('参数'!$G$4:$G$8,MATCH(INDEX($C$2:$C$101,MATCH(N68,$A$2:$A$101,0)),'参数'!$D$4:$D$8,0)),P68)-1)/(INDEX('参数'!$G$4:$G$8,MATCH(INDEX($C$2:$C$101,MATCH(N68,$A$2:$A$101,0)),'参数'!$D$4:$D$8,0))-1))</x:f>
        <x:v>3.0431481795212582e+26</x:v>
      </x:c>
      <x:c r="R68" s="14" t="n">
        <x:f>IF(A68=1,0,G67*'参数'!$B$4)</x:f>
        <x:v>7.327683633476373e+21</x:v>
      </x:c>
      <x:c r="S68" s="18" t="n">
        <x:f>IF(A68=1,0,Q68/R68/3600)</x:f>
        <x:v>11.535963901253636</x:v>
      </x:c>
      <x:c r="T68" s="18" t="n">
        <x:f>IF(A68=1,0,SUM($S$2:S68)/24)</x:f>
        <x:v>15.74038986019859</x:v>
      </x:c>
      <x:c r="U68" t="str">
        <x:f>IF(A68=1,"初始羊",IF(AND(E68=1,C68&gt;1),"跨层解锁：需要上一层最终羊×2",IF(P68&gt;=32,"阶段门槛：建议配合广告/随机羊","常规解锁")))</x:f>
        <x:v>常规解锁</x:v>
      </x:c>
    </x:row>
    <x:row r="69">
      <x:c r="A69" t="n">
        <x:v>68</x:v>
      </x:c>
      <x:c r="B69" t="str">
        <x:v>甜甜圈羊</x:v>
      </x:c>
      <x:c r="C69" t="n">
        <x:f>ROUNDUP(A69/20,0)</x:f>
        <x:v>4</x:v>
      </x:c>
      <x:c r="D69" t="str">
        <x:f>INDEX('参数'!$E$4:$E$8,MATCH(C69,'参数'!$D$4:$D$8,0))</x:f>
        <x:v>神明休息层</x:v>
      </x:c>
      <x:c r="E69" t="n">
        <x:f>MOD(A69-1,20)+1</x:f>
        <x:v>8</x:v>
      </x:c>
      <x:c r="F69" t="n">
        <x:f>IF(A69=1,"-",IF(E69=1,'参数'!$B$10,IF(E69&lt;=5,'参数'!$B$6,IF(E69&lt;=10,'参数'!$B$7,IF(E69&lt;=15,'参数'!$B$8,'参数'!$B$9)))) )</x:f>
        <x:v>2.15</x:v>
      </x:c>
      <x:c r="G69" s="14" t="n">
        <x:f>IF(A69=1,1,IF(E69=1,G68*'参数'!$B$10,G68*F69))</x:f>
        <x:v>4.2340271994680663e+23</x:v>
      </x:c>
      <x:c r="H69" s="14" t="n">
        <x:f>INDEX('参数'!$F$4:$F$8,MATCH(C69,'参数'!$D$4:$D$8,0))</x:f>
        <x:v>720</x:v>
      </x:c>
      <x:c r="I69" s="14" t="n">
        <x:f>G69*H69</x:f>
        <x:v>3.0484995836170076e+26</x:v>
      </x:c>
      <x:c r="J69" s="14" t="str">
        <x:f>"第n次 = 基础购买价 × 所属世界增长倍率^(n-1)"</x:f>
        <x:v>第n次 = 基础购买价 × 所属世界增长倍率^(n-1)</x:v>
      </x:c>
      <x:c r="K69" s="14" t="n">
        <x:f>I69*INDEX('参数'!$G$4:$G$8,MATCH(C69,'参数'!$D$4:$D$8,0))^('参数'!$B$5-1)</x:f>
        <x:v>2.2713091847427245e+27</x:v>
      </x:c>
      <x:c r="L69" t="str">
        <x:f>INDEX('参数'!$I$4:$I$8,MATCH(C69,'参数'!$H$4:$H$8,0))</x:f>
        <x:v>Lv.3</x:v>
      </x:c>
      <x:c r="M69" t="n">
        <x:f>INDEX('参数'!$J$4:$J$8,MATCH(C69,'参数'!$H$4:$H$8,0))</x:f>
        <x:v>2</x:v>
      </x:c>
      <x:c r="N69" t="n">
        <x:f>IF(A69=1,"-",IF(AND(E69=1,C69&gt;1),MAX((C69-2)*20+1,A69-1-INDEX('参数'!$J$4:$J$8,MATCH(C69-1,'参数'!$H$4:$H$8,0))),MAX((C69-1)*20+1,A69-1-M69)))</x:f>
        <x:v>65</x:v>
      </x:c>
      <x:c r="O69" t="str">
        <x:f>IF(A69=1,"-",INDEX($B$2:$B$101,MATCH(N69,$A$2:$A$101,0)))</x:f>
        <x:v>许愿羊</x:v>
      </x:c>
      <x:c r="P69" s="16" t="n">
        <x:f>IF(A69=1,0,POWER(2,A69-N69))</x:f>
        <x:v>8</x:v>
      </x:c>
      <x:c r="Q69" s="14" t="n">
        <x:f>IF(A69=1,0,INDEX($I$2:$I$101,MATCH(N69,$A$2:$A$101,0))*(POWER(INDEX('参数'!$G$4:$G$8,MATCH(INDEX($C$2:$C$101,MATCH(N69,$A$2:$A$101,0)),'参数'!$D$4:$D$8,0)),P69)-1)/(INDEX('参数'!$G$4:$G$8,MATCH(INDEX($C$2:$C$101,MATCH(N69,$A$2:$A$101,0)),'参数'!$D$4:$D$8,0))-1))</x:f>
        <x:v>6.0862963590425165e+26</x:v>
      </x:c>
      <x:c r="R69" s="14" t="n">
        <x:f>IF(A69=1,0,G68*'参数'!$B$4)</x:f>
        <x:v>1.57545198119742e+22</x:v>
      </x:c>
      <x:c r="S69" s="18" t="n">
        <x:f>IF(A69=1,0,Q69/R69/3600)</x:f>
        <x:v>10.731129210468499</x:v>
      </x:c>
      <x:c r="T69" s="18" t="n">
        <x:f>IF(A69=1,0,SUM($S$2:S69)/24)</x:f>
        <x:v>16.187520243968113</x:v>
      </x:c>
      <x:c r="U69" t="str">
        <x:f>IF(A69=1,"初始羊",IF(AND(E69=1,C69&gt;1),"跨层解锁：需要上一层最终羊×2",IF(P69&gt;=32,"阶段门槛：建议配合广告/随机羊","常规解锁")))</x:f>
        <x:v>常规解锁</x:v>
      </x:c>
    </x:row>
    <x:row r="70">
      <x:c r="A70" t="n">
        <x:v>69</x:v>
      </x:c>
      <x:c r="B70" t="str">
        <x:v>摸鱼天使羊</x:v>
      </x:c>
      <x:c r="C70" t="n">
        <x:f>ROUNDUP(A70/20,0)</x:f>
        <x:v>4</x:v>
      </x:c>
      <x:c r="D70" t="str">
        <x:f>INDEX('参数'!$E$4:$E$8,MATCH(C70,'参数'!$D$4:$D$8,0))</x:f>
        <x:v>神明休息层</x:v>
      </x:c>
      <x:c r="E70" t="n">
        <x:f>MOD(A70-1,20)+1</x:f>
        <x:v>9</x:v>
      </x:c>
      <x:c r="F70" t="n">
        <x:f>IF(A70=1,"-",IF(E70=1,'参数'!$B$10,IF(E70&lt;=5,'参数'!$B$6,IF(E70&lt;=10,'参数'!$B$7,IF(E70&lt;=15,'参数'!$B$8,'参数'!$B$9)))) )</x:f>
        <x:v>2.15</x:v>
      </x:c>
      <x:c r="G70" s="14" t="n">
        <x:f>IF(A70=1,1,IF(E70=1,G69*'参数'!$B$10,G69*F70))</x:f>
        <x:v>9.103158478856342e+23</x:v>
      </x:c>
      <x:c r="H70" s="14" t="n">
        <x:f>INDEX('参数'!$F$4:$F$8,MATCH(C70,'参数'!$D$4:$D$8,0))</x:f>
        <x:v>720</x:v>
      </x:c>
      <x:c r="I70" s="14" t="n">
        <x:f>G70*H70</x:f>
        <x:v>6.554274104776566e+26</x:v>
      </x:c>
      <x:c r="J70" s="14" t="str">
        <x:f>"第n次 = 基础购买价 × 所属世界增长倍率^(n-1)"</x:f>
        <x:v>第n次 = 基础购买价 × 所属世界增长倍率^(n-1)</x:v>
      </x:c>
      <x:c r="K70" s="14" t="n">
        <x:f>I70*INDEX('参数'!$G$4:$G$8,MATCH(C70,'参数'!$D$4:$D$8,0))^('参数'!$B$5-1)</x:f>
        <x:v>4.883314747196857e+27</x:v>
      </x:c>
      <x:c r="L70" t="str">
        <x:f>INDEX('参数'!$I$4:$I$8,MATCH(C70,'参数'!$H$4:$H$8,0))</x:f>
        <x:v>Lv.3</x:v>
      </x:c>
      <x:c r="M70" t="n">
        <x:f>INDEX('参数'!$J$4:$J$8,MATCH(C70,'参数'!$H$4:$H$8,0))</x:f>
        <x:v>2</x:v>
      </x:c>
      <x:c r="N70" t="n">
        <x:f>IF(A70=1,"-",IF(AND(E70=1,C70&gt;1),MAX((C70-2)*20+1,A70-1-INDEX('参数'!$J$4:$J$8,MATCH(C70-1,'参数'!$H$4:$H$8,0))),MAX((C70-1)*20+1,A70-1-M70)))</x:f>
        <x:v>66</x:v>
      </x:c>
      <x:c r="O70" t="str">
        <x:f>IF(A70=1,"-",INDEX($B$2:$B$101,MATCH(N70,$A$2:$A$101,0)))</x:f>
        <x:v>佛系羊</x:v>
      </x:c>
      <x:c r="P70" s="16" t="n">
        <x:f>IF(A70=1,0,POWER(2,A70-N70))</x:f>
        <x:v>8</x:v>
      </x:c>
      <x:c r="Q70" s="14" t="n">
        <x:f>IF(A70=1,0,INDEX($I$2:$I$101,MATCH(N70,$A$2:$A$101,0))*(POWER(INDEX('参数'!$G$4:$G$8,MATCH(INDEX($C$2:$C$101,MATCH(N70,$A$2:$A$101,0)),'参数'!$D$4:$D$8,0)),P70)-1)/(INDEX('参数'!$G$4:$G$8,MATCH(INDEX($C$2:$C$101,MATCH(N70,$A$2:$A$101,0)),'参数'!$D$4:$D$8,0))-1))</x:f>
        <x:v>1.308553717194141e+27</x:v>
      </x:c>
      <x:c r="R70" s="14" t="n">
        <x:f>IF(A70=1,0,G69*'参数'!$B$4)</x:f>
        <x:v>3.3872217595744533e+22</x:v>
      </x:c>
      <x:c r="S70" s="18" t="n">
        <x:f>IF(A70=1,0,Q70/R70/3600)</x:f>
        <x:v>10.731129210468499</x:v>
      </x:c>
      <x:c r="T70" s="18" t="n">
        <x:f>IF(A70=1,0,SUM($S$2:S70)/24)</x:f>
        <x:v>16.63465062773763</x:v>
      </x:c>
      <x:c r="U70" t="str">
        <x:f>IF(A70=1,"初始羊",IF(AND(E70=1,C70&gt;1),"跨层解锁：需要上一层最终羊×2",IF(P70&gt;=32,"阶段门槛：建议配合广告/随机羊","常规解锁")))</x:f>
        <x:v>常规解锁</x:v>
      </x:c>
    </x:row>
    <x:row r="71">
      <x:c r="A71" t="n">
        <x:v>70</x:v>
      </x:c>
      <x:c r="B71" t="str">
        <x:v>发呆羊神</x:v>
      </x:c>
      <x:c r="C71" t="n">
        <x:f>ROUNDUP(A71/20,0)</x:f>
        <x:v>4</x:v>
      </x:c>
      <x:c r="D71" t="str">
        <x:f>INDEX('参数'!$E$4:$E$8,MATCH(C71,'参数'!$D$4:$D$8,0))</x:f>
        <x:v>神明休息层</x:v>
      </x:c>
      <x:c r="E71" t="n">
        <x:f>MOD(A71-1,20)+1</x:f>
        <x:v>10</x:v>
      </x:c>
      <x:c r="F71" t="n">
        <x:f>IF(A71=1,"-",IF(E71=1,'参数'!$B$10,IF(E71&lt;=5,'参数'!$B$6,IF(E71&lt;=10,'参数'!$B$7,IF(E71&lt;=15,'参数'!$B$8,'参数'!$B$9)))) )</x:f>
        <x:v>2.15</x:v>
      </x:c>
      <x:c r="G71" s="14" t="n">
        <x:f>IF(A71=1,1,IF(E71=1,G70*'参数'!$B$10,G70*F71))</x:f>
        <x:v>1.9571790729541133e+24</x:v>
      </x:c>
      <x:c r="H71" s="14" t="n">
        <x:f>INDEX('参数'!$F$4:$F$8,MATCH(C71,'参数'!$D$4:$D$8,0))</x:f>
        <x:v>720</x:v>
      </x:c>
      <x:c r="I71" s="14" t="n">
        <x:f>G71*H71</x:f>
        <x:v>1.4091689325269615e+27</x:v>
      </x:c>
      <x:c r="J71" s="14" t="str">
        <x:f>"第n次 = 基础购买价 × 所属世界增长倍率^(n-1)"</x:f>
        <x:v>第n次 = 基础购买价 × 所属世界增长倍率^(n-1)</x:v>
      </x:c>
      <x:c r="K71" s="14" t="n">
        <x:f>I71*INDEX('参数'!$G$4:$G$8,MATCH(C71,'参数'!$D$4:$D$8,0))^('参数'!$B$5-1)</x:f>
        <x:v>1.0499126706473243e+28</x:v>
      </x:c>
      <x:c r="L71" t="str">
        <x:f>INDEX('参数'!$I$4:$I$8,MATCH(C71,'参数'!$H$4:$H$8,0))</x:f>
        <x:v>Lv.3</x:v>
      </x:c>
      <x:c r="M71" t="n">
        <x:f>INDEX('参数'!$J$4:$J$8,MATCH(C71,'参数'!$H$4:$H$8,0))</x:f>
        <x:v>2</x:v>
      </x:c>
      <x:c r="N71" t="n">
        <x:f>IF(A71=1,"-",IF(AND(E71=1,C71&gt;1),MAX((C71-2)*20+1,A71-1-INDEX('参数'!$J$4:$J$8,MATCH(C71-1,'参数'!$H$4:$H$8,0))),MAX((C71-1)*20+1,A71-1-M71)))</x:f>
        <x:v>67</x:v>
      </x:c>
      <x:c r="O71" t="str">
        <x:f>IF(A71=1,"-",INDEX($B$2:$B$101,MATCH(N71,$A$2:$A$101,0)))</x:f>
        <x:v>沙发羊神</x:v>
      </x:c>
      <x:c r="P71" s="16" t="n">
        <x:f>IF(A71=1,0,POWER(2,A71-N71))</x:f>
        <x:v>8</x:v>
      </x:c>
      <x:c r="Q71" s="14" t="n">
        <x:f>IF(A71=1,0,INDEX($I$2:$I$101,MATCH(N71,$A$2:$A$101,0))*(POWER(INDEX('参数'!$G$4:$G$8,MATCH(INDEX($C$2:$C$101,MATCH(N71,$A$2:$A$101,0)),'参数'!$D$4:$D$8,0)),P71)-1)/(INDEX('参数'!$G$4:$G$8,MATCH(INDEX($C$2:$C$101,MATCH(N71,$A$2:$A$101,0)),'参数'!$D$4:$D$8,0))-1))</x:f>
        <x:v>2.813390491967403e+27</x:v>
      </x:c>
      <x:c r="R71" s="14" t="n">
        <x:f>IF(A71=1,0,G70*'参数'!$B$4)</x:f>
        <x:v>7.282526783085074e+22</x:v>
      </x:c>
      <x:c r="S71" s="18" t="n">
        <x:f>IF(A71=1,0,Q71/R71/3600)</x:f>
        <x:v>10.731129210468499</x:v>
      </x:c>
      <x:c r="T71" s="18" t="n">
        <x:f>IF(A71=1,0,SUM($S$2:S71)/24)</x:f>
        <x:v>17.081781011507154</x:v>
      </x:c>
      <x:c r="U71" t="str">
        <x:f>IF(A71=1,"初始羊",IF(AND(E71=1,C71&gt;1),"跨层解锁：需要上一层最终羊×2",IF(P71&gt;=32,"阶段门槛：建议配合广告/随机羊","常规解锁")))</x:f>
        <x:v>常规解锁</x:v>
      </x:c>
    </x:row>
    <x:row r="72">
      <x:c r="A72" t="n">
        <x:v>71</x:v>
      </x:c>
      <x:c r="B72" t="str">
        <x:v>棉花糖羊</x:v>
      </x:c>
      <x:c r="C72" t="n">
        <x:f>ROUNDUP(A72/20,0)</x:f>
        <x:v>4</x:v>
      </x:c>
      <x:c r="D72" t="str">
        <x:f>INDEX('参数'!$E$4:$E$8,MATCH(C72,'参数'!$D$4:$D$8,0))</x:f>
        <x:v>神明休息层</x:v>
      </x:c>
      <x:c r="E72" t="n">
        <x:f>MOD(A72-1,20)+1</x:f>
        <x:v>11</x:v>
      </x:c>
      <x:c r="F72" t="n">
        <x:f>IF(A72=1,"-",IF(E72=1,'参数'!$B$10,IF(E72&lt;=5,'参数'!$B$6,IF(E72&lt;=10,'参数'!$B$7,IF(E72&lt;=15,'参数'!$B$8,'参数'!$B$9)))) )</x:f>
        <x:v>2.3</x:v>
      </x:c>
      <x:c r="G72" s="14" t="n">
        <x:f>IF(A72=1,1,IF(E72=1,G71*'参数'!$B$10,G71*F72))</x:f>
        <x:v>4.5015118677944605e+24</x:v>
      </x:c>
      <x:c r="H72" s="14" t="n">
        <x:f>INDEX('参数'!$F$4:$F$8,MATCH(C72,'参数'!$D$4:$D$8,0))</x:f>
        <x:v>720</x:v>
      </x:c>
      <x:c r="I72" s="14" t="n">
        <x:f>G72*H72</x:f>
        <x:v>3.2410885448120117e+27</x:v>
      </x:c>
      <x:c r="J72" s="14" t="str">
        <x:f>"第n次 = 基础购买价 × 所属世界增长倍率^(n-1)"</x:f>
        <x:v>第n次 = 基础购买价 × 所属世界增长倍率^(n-1)</x:v>
      </x:c>
      <x:c r="K72" s="14" t="n">
        <x:f>I72*INDEX('参数'!$G$4:$G$8,MATCH(C72,'参数'!$D$4:$D$8,0))^('参数'!$B$5-1)</x:f>
        <x:v>2.4147991424888457e+28</x:v>
      </x:c>
      <x:c r="L72" t="str">
        <x:f>INDEX('参数'!$I$4:$I$8,MATCH(C72,'参数'!$H$4:$H$8,0))</x:f>
        <x:v>Lv.3</x:v>
      </x:c>
      <x:c r="M72" t="n">
        <x:f>INDEX('参数'!$J$4:$J$8,MATCH(C72,'参数'!$H$4:$H$8,0))</x:f>
        <x:v>2</x:v>
      </x:c>
      <x:c r="N72" t="n">
        <x:f>IF(A72=1,"-",IF(AND(E72=1,C72&gt;1),MAX((C72-2)*20+1,A72-1-INDEX('参数'!$J$4:$J$8,MATCH(C72-1,'参数'!$H$4:$H$8,0))),MAX((C72-1)*20+1,A72-1-M72)))</x:f>
        <x:v>68</x:v>
      </x:c>
      <x:c r="O72" t="str">
        <x:f>IF(A72=1,"-",INDEX($B$2:$B$101,MATCH(N72,$A$2:$A$101,0)))</x:f>
        <x:v>甜甜圈羊</x:v>
      </x:c>
      <x:c r="P72" s="16" t="n">
        <x:f>IF(A72=1,0,POWER(2,A72-N72))</x:f>
        <x:v>8</x:v>
      </x:c>
      <x:c r="Q72" s="14" t="n">
        <x:f>IF(A72=1,0,INDEX($I$2:$I$101,MATCH(N72,$A$2:$A$101,0))*(POWER(INDEX('参数'!$G$4:$G$8,MATCH(INDEX($C$2:$C$101,MATCH(N72,$A$2:$A$101,0)),'参数'!$D$4:$D$8,0)),P72)-1)/(INDEX('参数'!$G$4:$G$8,MATCH(INDEX($C$2:$C$101,MATCH(N72,$A$2:$A$101,0)),'参数'!$D$4:$D$8,0))-1))</x:f>
        <x:v>6.048789557729916e+27</x:v>
      </x:c>
      <x:c r="R72" s="14" t="n">
        <x:f>IF(A72=1,0,G71*'参数'!$B$4)</x:f>
        <x:v>1.5657432583632906e+23</x:v>
      </x:c>
      <x:c r="S72" s="18" t="n">
        <x:f>IF(A72=1,0,Q72/R72/3600)</x:f>
        <x:v>10.731129210468499</x:v>
      </x:c>
      <x:c r="T72" s="18" t="n">
        <x:f>IF(A72=1,0,SUM($S$2:S72)/24)</x:f>
        <x:v>17.528911395276676</x:v>
      </x:c>
      <x:c r="U72" t="str">
        <x:f>IF(A72=1,"初始羊",IF(AND(E72=1,C72&gt;1),"跨层解锁：需要上一层最终羊×2",IF(P72&gt;=32,"阶段门槛：建议配合广告/随机羊","常规解锁")))</x:f>
        <x:v>常规解锁</x:v>
      </x:c>
    </x:row>
    <x:row r="73">
      <x:c r="A73" t="n">
        <x:v>72</x:v>
      </x:c>
      <x:c r="B73" t="str">
        <x:v>彩虹羊</x:v>
      </x:c>
      <x:c r="C73" t="n">
        <x:f>ROUNDUP(A73/20,0)</x:f>
        <x:v>4</x:v>
      </x:c>
      <x:c r="D73" t="str">
        <x:f>INDEX('参数'!$E$4:$E$8,MATCH(C73,'参数'!$D$4:$D$8,0))</x:f>
        <x:v>神明休息层</x:v>
      </x:c>
      <x:c r="E73" t="n">
        <x:f>MOD(A73-1,20)+1</x:f>
        <x:v>12</x:v>
      </x:c>
      <x:c r="F73" t="n">
        <x:f>IF(A73=1,"-",IF(E73=1,'参数'!$B$10,IF(E73&lt;=5,'参数'!$B$6,IF(E73&lt;=10,'参数'!$B$7,IF(E73&lt;=15,'参数'!$B$8,'参数'!$B$9)))) )</x:f>
        <x:v>2.3</x:v>
      </x:c>
      <x:c r="G73" s="14" t="n">
        <x:f>IF(A73=1,1,IF(E73=1,G72*'参数'!$B$10,G72*F73))</x:f>
        <x:v>1.0353477295927257e+25</x:v>
      </x:c>
      <x:c r="H73" s="14" t="n">
        <x:f>INDEX('参数'!$F$4:$F$8,MATCH(C73,'参数'!$D$4:$D$8,0))</x:f>
        <x:v>720</x:v>
      </x:c>
      <x:c r="I73" s="14" t="n">
        <x:f>G73*H73</x:f>
        <x:v>7.454503653067625e+27</x:v>
      </x:c>
      <x:c r="J73" s="14" t="str">
        <x:f>"第n次 = 基础购买价 × 所属世界增长倍率^(n-1)"</x:f>
        <x:v>第n次 = 基础购买价 × 所属世界增长倍率^(n-1)</x:v>
      </x:c>
      <x:c r="K73" s="14" t="n">
        <x:f>I73*INDEX('参数'!$G$4:$G$8,MATCH(C73,'参数'!$D$4:$D$8,0))^('参数'!$B$5-1)</x:f>
        <x:v>5.5540380277243445e+28</x:v>
      </x:c>
      <x:c r="L73" t="str">
        <x:f>INDEX('参数'!$I$4:$I$8,MATCH(C73,'参数'!$H$4:$H$8,0))</x:f>
        <x:v>Lv.3</x:v>
      </x:c>
      <x:c r="M73" t="n">
        <x:f>INDEX('参数'!$J$4:$J$8,MATCH(C73,'参数'!$H$4:$H$8,0))</x:f>
        <x:v>2</x:v>
      </x:c>
      <x:c r="N73" t="n">
        <x:f>IF(A73=1,"-",IF(AND(E73=1,C73&gt;1),MAX((C73-2)*20+1,A73-1-INDEX('参数'!$J$4:$J$8,MATCH(C73-1,'参数'!$H$4:$H$8,0))),MAX((C73-1)*20+1,A73-1-M73)))</x:f>
        <x:v>69</x:v>
      </x:c>
      <x:c r="O73" t="str">
        <x:f>IF(A73=1,"-",INDEX($B$2:$B$101,MATCH(N73,$A$2:$A$101,0)))</x:f>
        <x:v>摸鱼天使羊</x:v>
      </x:c>
      <x:c r="P73" s="16" t="n">
        <x:f>IF(A73=1,0,POWER(2,A73-N73))</x:f>
        <x:v>8</x:v>
      </x:c>
      <x:c r="Q73" s="14" t="n">
        <x:f>IF(A73=1,0,INDEX($I$2:$I$101,MATCH(N73,$A$2:$A$101,0))*(POWER(INDEX('参数'!$G$4:$G$8,MATCH(INDEX($C$2:$C$101,MATCH(N73,$A$2:$A$101,0)),'参数'!$D$4:$D$8,0)),P73)-1)/(INDEX('参数'!$G$4:$G$8,MATCH(INDEX($C$2:$C$101,MATCH(N73,$A$2:$A$101,0)),'参数'!$D$4:$D$8,0))-1))</x:f>
        <x:v>1.3004897549119316e+28</x:v>
      </x:c>
      <x:c r="R73" s="14" t="n">
        <x:f>IF(A73=1,0,G72*'参数'!$B$4)</x:f>
        <x:v>3.6012094942355686e+23</x:v>
      </x:c>
      <x:c r="S73" s="18" t="n">
        <x:f>IF(A73=1,0,Q73/R73/3600)</x:f>
        <x:v>10.031272957611854</x:v>
      </x:c>
      <x:c r="T73" s="18" t="n">
        <x:f>IF(A73=1,0,SUM($S$2:S73)/24)</x:f>
        <x:v>17.946881101843836</x:v>
      </x:c>
      <x:c r="U73" t="str">
        <x:f>IF(A73=1,"初始羊",IF(AND(E73=1,C73&gt;1),"跨层解锁：需要上一层最终羊×2",IF(P73&gt;=32,"阶段门槛：建议配合广告/随机羊","常规解锁")))</x:f>
        <x:v>常规解锁</x:v>
      </x:c>
    </x:row>
    <x:row r="74">
      <x:c r="A74" t="n">
        <x:v>73</x:v>
      </x:c>
      <x:c r="B74" t="str">
        <x:v>星愿羊</x:v>
      </x:c>
      <x:c r="C74" t="n">
        <x:f>ROUNDUP(A74/20,0)</x:f>
        <x:v>4</x:v>
      </x:c>
      <x:c r="D74" t="str">
        <x:f>INDEX('参数'!$E$4:$E$8,MATCH(C74,'参数'!$D$4:$D$8,0))</x:f>
        <x:v>神明休息层</x:v>
      </x:c>
      <x:c r="E74" t="n">
        <x:f>MOD(A74-1,20)+1</x:f>
        <x:v>13</x:v>
      </x:c>
      <x:c r="F74" t="n">
        <x:f>IF(A74=1,"-",IF(E74=1,'参数'!$B$10,IF(E74&lt;=5,'参数'!$B$6,IF(E74&lt;=10,'参数'!$B$7,IF(E74&lt;=15,'参数'!$B$8,'参数'!$B$9)))) )</x:f>
        <x:v>2.3</x:v>
      </x:c>
      <x:c r="G74" s="14" t="n">
        <x:f>IF(A74=1,1,IF(E74=1,G73*'参数'!$B$10,G73*F74))</x:f>
        <x:v>2.381299778063269e+25</x:v>
      </x:c>
      <x:c r="H74" s="14" t="n">
        <x:f>INDEX('参数'!$F$4:$F$8,MATCH(C74,'参数'!$D$4:$D$8,0))</x:f>
        <x:v>720</x:v>
      </x:c>
      <x:c r="I74" s="14" t="n">
        <x:f>G74*H74</x:f>
        <x:v>1.7145358402055537e+28</x:v>
      </x:c>
      <x:c r="J74" s="14" t="str">
        <x:f>"第n次 = 基础购买价 × 所属世界增长倍率^(n-1)"</x:f>
        <x:v>第n次 = 基础购买价 × 所属世界增长倍率^(n-1)</x:v>
      </x:c>
      <x:c r="K74" s="14" t="n">
        <x:f>I74*INDEX('参数'!$G$4:$G$8,MATCH(C74,'参数'!$D$4:$D$8,0))^('参数'!$B$5-1)</x:f>
        <x:v>1.277428746376599e+29</x:v>
      </x:c>
      <x:c r="L74" t="str">
        <x:f>INDEX('参数'!$I$4:$I$8,MATCH(C74,'参数'!$H$4:$H$8,0))</x:f>
        <x:v>Lv.3</x:v>
      </x:c>
      <x:c r="M74" t="n">
        <x:f>INDEX('参数'!$J$4:$J$8,MATCH(C74,'参数'!$H$4:$H$8,0))</x:f>
        <x:v>2</x:v>
      </x:c>
      <x:c r="N74" t="n">
        <x:f>IF(A74=1,"-",IF(AND(E74=1,C74&gt;1),MAX((C74-2)*20+1,A74-1-INDEX('参数'!$J$4:$J$8,MATCH(C74-1,'参数'!$H$4:$H$8,0))),MAX((C74-1)*20+1,A74-1-M74)))</x:f>
        <x:v>70</x:v>
      </x:c>
      <x:c r="O74" t="str">
        <x:f>IF(A74=1,"-",INDEX($B$2:$B$101,MATCH(N74,$A$2:$A$101,0)))</x:f>
        <x:v>发呆羊神</x:v>
      </x:c>
      <x:c r="P74" s="16" t="n">
        <x:f>IF(A74=1,0,POWER(2,A74-N74))</x:f>
        <x:v>8</x:v>
      </x:c>
      <x:c r="Q74" s="14" t="n">
        <x:f>IF(A74=1,0,INDEX($I$2:$I$101,MATCH(N74,$A$2:$A$101,0))*(POWER(INDEX('参数'!$G$4:$G$8,MATCH(INDEX($C$2:$C$101,MATCH(N74,$A$2:$A$101,0)),'参数'!$D$4:$D$8,0)),P74)-1)/(INDEX('参数'!$G$4:$G$8,MATCH(INDEX($C$2:$C$101,MATCH(N74,$A$2:$A$101,0)),'参数'!$D$4:$D$8,0))-1))</x:f>
        <x:v>2.796052973060653e+28</x:v>
      </x:c>
      <x:c r="R74" s="14" t="n">
        <x:f>IF(A74=1,0,G73*'参数'!$B$4)</x:f>
        <x:v>8.282781836741806e+23</x:v>
      </x:c>
      <x:c r="S74" s="18" t="n">
        <x:f>IF(A74=1,0,Q74/R74/3600)</x:f>
        <x:v>9.37705950385456</x:v>
      </x:c>
      <x:c r="T74" s="18" t="n">
        <x:f>IF(A74=1,0,SUM($S$2:S74)/24)</x:f>
        <x:v>18.337591914504443</x:v>
      </x:c>
      <x:c r="U74" t="str">
        <x:f>IF(A74=1,"初始羊",IF(AND(E74=1,C74&gt;1),"跨层解锁：需要上一层最终羊×2",IF(P74&gt;=32,"阶段门槛：建议配合广告/随机羊","常规解锁")))</x:f>
        <x:v>常规解锁</x:v>
      </x:c>
    </x:row>
    <x:row r="75">
      <x:c r="A75" t="n">
        <x:v>74</x:v>
      </x:c>
      <x:c r="B75" t="str">
        <x:v>下午茶羊</x:v>
      </x:c>
      <x:c r="C75" t="n">
        <x:f>ROUNDUP(A75/20,0)</x:f>
        <x:v>4</x:v>
      </x:c>
      <x:c r="D75" t="str">
        <x:f>INDEX('参数'!$E$4:$E$8,MATCH(C75,'参数'!$D$4:$D$8,0))</x:f>
        <x:v>神明休息层</x:v>
      </x:c>
      <x:c r="E75" t="n">
        <x:f>MOD(A75-1,20)+1</x:f>
        <x:v>14</x:v>
      </x:c>
      <x:c r="F75" t="n">
        <x:f>IF(A75=1,"-",IF(E75=1,'参数'!$B$10,IF(E75&lt;=5,'参数'!$B$6,IF(E75&lt;=10,'参数'!$B$7,IF(E75&lt;=15,'参数'!$B$8,'参数'!$B$9)))) )</x:f>
        <x:v>2.3</x:v>
      </x:c>
      <x:c r="G75" s="14" t="n">
        <x:f>IF(A75=1,1,IF(E75=1,G74*'参数'!$B$10,G74*F75))</x:f>
        <x:v>5.476989489545518e+25</x:v>
      </x:c>
      <x:c r="H75" s="14" t="n">
        <x:f>INDEX('参数'!$F$4:$F$8,MATCH(C75,'参数'!$D$4:$D$8,0))</x:f>
        <x:v>720</x:v>
      </x:c>
      <x:c r="I75" s="14" t="n">
        <x:f>G75*H75</x:f>
        <x:v>3.943432432472773e+28</x:v>
      </x:c>
      <x:c r="J75" s="14" t="str">
        <x:f>"第n次 = 基础购买价 × 所属世界增长倍率^(n-1)"</x:f>
        <x:v>第n次 = 基础购买价 × 所属世界增长倍率^(n-1)</x:v>
      </x:c>
      <x:c r="K75" s="14" t="n">
        <x:f>I75*INDEX('参数'!$G$4:$G$8,MATCH(C75,'参数'!$D$4:$D$8,0))^('参数'!$B$5-1)</x:f>
        <x:v>2.9380861166661776e+29</x:v>
      </x:c>
      <x:c r="L75" t="str">
        <x:f>INDEX('参数'!$I$4:$I$8,MATCH(C75,'参数'!$H$4:$H$8,0))</x:f>
        <x:v>Lv.3</x:v>
      </x:c>
      <x:c r="M75" t="n">
        <x:f>INDEX('参数'!$J$4:$J$8,MATCH(C75,'参数'!$H$4:$H$8,0))</x:f>
        <x:v>2</x:v>
      </x:c>
      <x:c r="N75" t="n">
        <x:f>IF(A75=1,"-",IF(AND(E75=1,C75&gt;1),MAX((C75-2)*20+1,A75-1-INDEX('参数'!$J$4:$J$8,MATCH(C75-1,'参数'!$H$4:$H$8,0))),MAX((C75-1)*20+1,A75-1-M75)))</x:f>
        <x:v>71</x:v>
      </x:c>
      <x:c r="O75" t="str">
        <x:f>IF(A75=1,"-",INDEX($B$2:$B$101,MATCH(N75,$A$2:$A$101,0)))</x:f>
        <x:v>棉花糖羊</x:v>
      </x:c>
      <x:c r="P75" s="16" t="n">
        <x:f>IF(A75=1,0,POWER(2,A75-N75))</x:f>
        <x:v>8</x:v>
      </x:c>
      <x:c r="Q75" s="14" t="n">
        <x:f>IF(A75=1,0,INDEX($I$2:$I$101,MATCH(N75,$A$2:$A$101,0))*(POWER(INDEX('参数'!$G$4:$G$8,MATCH(INDEX($C$2:$C$101,MATCH(N75,$A$2:$A$101,0)),'参数'!$D$4:$D$8,0)),P75)-1)/(INDEX('参数'!$G$4:$G$8,MATCH(INDEX($C$2:$C$101,MATCH(N75,$A$2:$A$101,0)),'参数'!$D$4:$D$8,0))-1))</x:f>
        <x:v>6.4309218380395025e+28</x:v>
      </x:c>
      <x:c r="R75" s="14" t="n">
        <x:f>IF(A75=1,0,G74*'参数'!$B$4)</x:f>
        <x:v>1.9050398224506152e+24</x:v>
      </x:c>
      <x:c r="S75" s="18" t="n">
        <x:f>IF(A75=1,0,Q75/R75/3600)</x:f>
        <x:v>9.377059503854564</x:v>
      </x:c>
      <x:c r="T75" s="18" t="n">
        <x:f>IF(A75=1,0,SUM($S$2:S75)/24)</x:f>
        <x:v>18.72830272716505</x:v>
      </x:c>
      <x:c r="U75" t="str">
        <x:f>IF(A75=1,"初始羊",IF(AND(E75=1,C75&gt;1),"跨层解锁：需要上一层最终羊×2",IF(P75&gt;=32,"阶段门槛：建议配合广告/随机羊","常规解锁")))</x:f>
        <x:v>常规解锁</x:v>
      </x:c>
    </x:row>
    <x:row r="76">
      <x:c r="A76" t="n">
        <x:v>75</x:v>
      </x:c>
      <x:c r="B76" t="str">
        <x:v>懒懒神羊</x:v>
      </x:c>
      <x:c r="C76" t="n">
        <x:f>ROUNDUP(A76/20,0)</x:f>
        <x:v>4</x:v>
      </x:c>
      <x:c r="D76" t="str">
        <x:f>INDEX('参数'!$E$4:$E$8,MATCH(C76,'参数'!$D$4:$D$8,0))</x:f>
        <x:v>神明休息层</x:v>
      </x:c>
      <x:c r="E76" t="n">
        <x:f>MOD(A76-1,20)+1</x:f>
        <x:v>15</x:v>
      </x:c>
      <x:c r="F76" t="n">
        <x:f>IF(A76=1,"-",IF(E76=1,'参数'!$B$10,IF(E76&lt;=5,'参数'!$B$6,IF(E76&lt;=10,'参数'!$B$7,IF(E76&lt;=15,'参数'!$B$8,'参数'!$B$9)))) )</x:f>
        <x:v>2.3</x:v>
      </x:c>
      <x:c r="G76" s="14" t="n">
        <x:f>IF(A76=1,1,IF(E76=1,G75*'参数'!$B$10,G75*F76))</x:f>
        <x:v>1.259707582595469e+26</x:v>
      </x:c>
      <x:c r="H76" s="14" t="n">
        <x:f>INDEX('参数'!$F$4:$F$8,MATCH(C76,'参数'!$D$4:$D$8,0))</x:f>
        <x:v>720</x:v>
      </x:c>
      <x:c r="I76" s="14" t="n">
        <x:f>G76*H76</x:f>
        <x:v>9.069894594687377e+28</x:v>
      </x:c>
      <x:c r="J76" s="14" t="str">
        <x:f>"第n次 = 基础购买价 × 所属世界增长倍率^(n-1)"</x:f>
        <x:v>第n次 = 基础购买价 × 所属世界增长倍率^(n-1)</x:v>
      </x:c>
      <x:c r="K76" s="14" t="n">
        <x:f>I76*INDEX('参数'!$G$4:$G$8,MATCH(C76,'参数'!$D$4:$D$8,0))^('参数'!$B$5-1)</x:f>
        <x:v>6.757598068332207e+29</x:v>
      </x:c>
      <x:c r="L76" t="str">
        <x:f>INDEX('参数'!$I$4:$I$8,MATCH(C76,'参数'!$H$4:$H$8,0))</x:f>
        <x:v>Lv.3</x:v>
      </x:c>
      <x:c r="M76" t="n">
        <x:f>INDEX('参数'!$J$4:$J$8,MATCH(C76,'参数'!$H$4:$H$8,0))</x:f>
        <x:v>2</x:v>
      </x:c>
      <x:c r="N76" t="n">
        <x:f>IF(A76=1,"-",IF(AND(E76=1,C76&gt;1),MAX((C76-2)*20+1,A76-1-INDEX('参数'!$J$4:$J$8,MATCH(C76-1,'参数'!$H$4:$H$8,0))),MAX((C76-1)*20+1,A76-1-M76)))</x:f>
        <x:v>72</x:v>
      </x:c>
      <x:c r="O76" t="str">
        <x:f>IF(A76=1,"-",INDEX($B$2:$B$101,MATCH(N76,$A$2:$A$101,0)))</x:f>
        <x:v>彩虹羊</x:v>
      </x:c>
      <x:c r="P76" s="16" t="n">
        <x:f>IF(A76=1,0,POWER(2,A76-N76))</x:f>
        <x:v>8</x:v>
      </x:c>
      <x:c r="Q76" s="14" t="n">
        <x:f>IF(A76=1,0,INDEX($I$2:$I$101,MATCH(N76,$A$2:$A$101,0))*(POWER(INDEX('参数'!$G$4:$G$8,MATCH(INDEX($C$2:$C$101,MATCH(N76,$A$2:$A$101,0)),'参数'!$D$4:$D$8,0)),P76)-1)/(INDEX('参数'!$G$4:$G$8,MATCH(INDEX($C$2:$C$101,MATCH(N76,$A$2:$A$101,0)),'参数'!$D$4:$D$8,0))-1))</x:f>
        <x:v>1.4791120227490853e+29</x:v>
      </x:c>
      <x:c r="R76" s="14" t="n">
        <x:f>IF(A76=1,0,G75*'参数'!$B$4)</x:f>
        <x:v>4.3815915916364146e+24</x:v>
      </x:c>
      <x:c r="S76" s="18" t="n">
        <x:f>IF(A76=1,0,Q76/R76/3600)</x:f>
        <x:v>9.37705950385456</x:v>
      </x:c>
      <x:c r="T76" s="18" t="n">
        <x:f>IF(A76=1,0,SUM($S$2:S76)/24)</x:f>
        <x:v>19.11901353982566</x:v>
      </x:c>
      <x:c r="U76" t="str">
        <x:f>IF(A76=1,"初始羊",IF(AND(E76=1,C76&gt;1),"跨层解锁：需要上一层最终羊×2",IF(P76&gt;=32,"阶段门槛：建议配合广告/随机羊","常规解锁")))</x:f>
        <x:v>常规解锁</x:v>
      </x:c>
    </x:row>
    <x:row r="77">
      <x:c r="A77" t="n">
        <x:v>76</x:v>
      </x:c>
      <x:c r="B77" t="str">
        <x:v>云海羊</x:v>
      </x:c>
      <x:c r="C77" t="n">
        <x:f>ROUNDUP(A77/20,0)</x:f>
        <x:v>4</x:v>
      </x:c>
      <x:c r="D77" t="str">
        <x:f>INDEX('参数'!$E$4:$E$8,MATCH(C77,'参数'!$D$4:$D$8,0))</x:f>
        <x:v>神明休息层</x:v>
      </x:c>
      <x:c r="E77" t="n">
        <x:f>MOD(A77-1,20)+1</x:f>
        <x:v>16</x:v>
      </x:c>
      <x:c r="F77" t="n">
        <x:f>IF(A77=1,"-",IF(E77=1,'参数'!$B$10,IF(E77&lt;=5,'参数'!$B$6,IF(E77&lt;=10,'参数'!$B$7,IF(E77&lt;=15,'参数'!$B$8,'参数'!$B$9)))) )</x:f>
        <x:v>2.5</x:v>
      </x:c>
      <x:c r="G77" s="14" t="n">
        <x:f>IF(A77=1,1,IF(E77=1,G76*'参数'!$B$10,G76*F77))</x:f>
        <x:v>3.1492689564886727e+26</x:v>
      </x:c>
      <x:c r="H77" s="14" t="n">
        <x:f>INDEX('参数'!$F$4:$F$8,MATCH(C77,'参数'!$D$4:$D$8,0))</x:f>
        <x:v>720</x:v>
      </x:c>
      <x:c r="I77" s="14" t="n">
        <x:f>G77*H77</x:f>
        <x:v>2.2674736486718443e+29</x:v>
      </x:c>
      <x:c r="J77" s="14" t="str">
        <x:f>"第n次 = 基础购买价 × 所属世界增长倍率^(n-1)"</x:f>
        <x:v>第n次 = 基础购买价 × 所属世界增长倍率^(n-1)</x:v>
      </x:c>
      <x:c r="K77" s="14" t="n">
        <x:f>I77*INDEX('参数'!$G$4:$G$8,MATCH(C77,'参数'!$D$4:$D$8,0))^('参数'!$B$5-1)</x:f>
        <x:v>1.689399517083052e+30</x:v>
      </x:c>
      <x:c r="L77" t="str">
        <x:f>INDEX('参数'!$I$4:$I$8,MATCH(C77,'参数'!$H$4:$H$8,0))</x:f>
        <x:v>Lv.3</x:v>
      </x:c>
      <x:c r="M77" t="n">
        <x:f>INDEX('参数'!$J$4:$J$8,MATCH(C77,'参数'!$H$4:$H$8,0))</x:f>
        <x:v>2</x:v>
      </x:c>
      <x:c r="N77" t="n">
        <x:f>IF(A77=1,"-",IF(AND(E77=1,C77&gt;1),MAX((C77-2)*20+1,A77-1-INDEX('参数'!$J$4:$J$8,MATCH(C77-1,'参数'!$H$4:$H$8,0))),MAX((C77-1)*20+1,A77-1-M77)))</x:f>
        <x:v>73</x:v>
      </x:c>
      <x:c r="O77" t="str">
        <x:f>IF(A77=1,"-",INDEX($B$2:$B$101,MATCH(N77,$A$2:$A$101,0)))</x:f>
        <x:v>星愿羊</x:v>
      </x:c>
      <x:c r="P77" s="16" t="n">
        <x:f>IF(A77=1,0,POWER(2,A77-N77))</x:f>
        <x:v>8</x:v>
      </x:c>
      <x:c r="Q77" s="14" t="n">
        <x:f>IF(A77=1,0,INDEX($I$2:$I$101,MATCH(N77,$A$2:$A$101,0))*(POWER(INDEX('参数'!$G$4:$G$8,MATCH(INDEX($C$2:$C$101,MATCH(N77,$A$2:$A$101,0)),'参数'!$D$4:$D$8,0)),P77)-1)/(INDEX('参数'!$G$4:$G$8,MATCH(INDEX($C$2:$C$101,MATCH(N77,$A$2:$A$101,0)),'参数'!$D$4:$D$8,0))-1))</x:f>
        <x:v>3.4019576523228956e+29</x:v>
      </x:c>
      <x:c r="R77" s="14" t="n">
        <x:f>IF(A77=1,0,G76*'参数'!$B$4)</x:f>
        <x:v>1.0077660660763752e+25</x:v>
      </x:c>
      <x:c r="S77" s="18" t="n">
        <x:f>IF(A77=1,0,Q77/R77/3600)</x:f>
        <x:v>9.37705950385456</x:v>
      </x:c>
      <x:c r="T77" s="18" t="n">
        <x:f>IF(A77=1,0,SUM($S$2:S77)/24)</x:f>
        <x:v>19.509724352486266</x:v>
      </x:c>
      <x:c r="U77" t="str">
        <x:f>IF(A77=1,"初始羊",IF(AND(E77=1,C77&gt;1),"跨层解锁：需要上一层最终羊×2",IF(P77&gt;=32,"阶段门槛：建议配合广告/随机羊","常规解锁")))</x:f>
        <x:v>常规解锁</x:v>
      </x:c>
    </x:row>
    <x:row r="78">
      <x:c r="A78" t="n">
        <x:v>77</x:v>
      </x:c>
      <x:c r="B78" t="str">
        <x:v>泡泡羊神</x:v>
      </x:c>
      <x:c r="C78" t="n">
        <x:f>ROUNDUP(A78/20,0)</x:f>
        <x:v>4</x:v>
      </x:c>
      <x:c r="D78" t="str">
        <x:f>INDEX('参数'!$E$4:$E$8,MATCH(C78,'参数'!$D$4:$D$8,0))</x:f>
        <x:v>神明休息层</x:v>
      </x:c>
      <x:c r="E78" t="n">
        <x:f>MOD(A78-1,20)+1</x:f>
        <x:v>17</x:v>
      </x:c>
      <x:c r="F78" t="n">
        <x:f>IF(A78=1,"-",IF(E78=1,'参数'!$B$10,IF(E78&lt;=5,'参数'!$B$6,IF(E78&lt;=10,'参数'!$B$7,IF(E78&lt;=15,'参数'!$B$8,'参数'!$B$9)))) )</x:f>
        <x:v>2.5</x:v>
      </x:c>
      <x:c r="G78" s="14" t="n">
        <x:f>IF(A78=1,1,IF(E78=1,G77*'参数'!$B$10,G77*F78))</x:f>
        <x:v>7.873172391221681e+26</x:v>
      </x:c>
      <x:c r="H78" s="14" t="n">
        <x:f>INDEX('参数'!$F$4:$F$8,MATCH(C78,'参数'!$D$4:$D$8,0))</x:f>
        <x:v>720</x:v>
      </x:c>
      <x:c r="I78" s="14" t="n">
        <x:f>G78*H78</x:f>
        <x:v>5.6686841216796104e+29</x:v>
      </x:c>
      <x:c r="J78" s="14" t="str">
        <x:f>"第n次 = 基础购买价 × 所属世界增长倍率^(n-1)"</x:f>
        <x:v>第n次 = 基础购买价 × 所属世界增长倍率^(n-1)</x:v>
      </x:c>
      <x:c r="K78" s="14" t="n">
        <x:f>I78*INDEX('参数'!$G$4:$G$8,MATCH(C78,'参数'!$D$4:$D$8,0))^('参数'!$B$5-1)</x:f>
        <x:v>4.22349879270763e+30</x:v>
      </x:c>
      <x:c r="L78" t="str">
        <x:f>INDEX('参数'!$I$4:$I$8,MATCH(C78,'参数'!$H$4:$H$8,0))</x:f>
        <x:v>Lv.3</x:v>
      </x:c>
      <x:c r="M78" t="n">
        <x:f>INDEX('参数'!$J$4:$J$8,MATCH(C78,'参数'!$H$4:$H$8,0))</x:f>
        <x:v>2</x:v>
      </x:c>
      <x:c r="N78" t="n">
        <x:f>IF(A78=1,"-",IF(AND(E78=1,C78&gt;1),MAX((C78-2)*20+1,A78-1-INDEX('参数'!$J$4:$J$8,MATCH(C78-1,'参数'!$H$4:$H$8,0))),MAX((C78-1)*20+1,A78-1-M78)))</x:f>
        <x:v>74</x:v>
      </x:c>
      <x:c r="O78" t="str">
        <x:f>IF(A78=1,"-",INDEX($B$2:$B$101,MATCH(N78,$A$2:$A$101,0)))</x:f>
        <x:v>下午茶羊</x:v>
      </x:c>
      <x:c r="P78" s="16" t="n">
        <x:f>IF(A78=1,0,POWER(2,A78-N78))</x:f>
        <x:v>8</x:v>
      </x:c>
      <x:c r="Q78" s="14" t="n">
        <x:f>IF(A78=1,0,INDEX($I$2:$I$101,MATCH(N78,$A$2:$A$101,0))*(POWER(INDEX('参数'!$G$4:$G$8,MATCH(INDEX($C$2:$C$101,MATCH(N78,$A$2:$A$101,0)),'参数'!$D$4:$D$8,0)),P78)-1)/(INDEX('参数'!$G$4:$G$8,MATCH(INDEX($C$2:$C$101,MATCH(N78,$A$2:$A$101,0)),'参数'!$D$4:$D$8,0))-1))</x:f>
        <x:v>7.82450260034266e+29</x:v>
      </x:c>
      <x:c r="R78" s="14" t="n">
        <x:f>IF(A78=1,0,G77*'参数'!$B$4)</x:f>
        <x:v>2.519415165190938e+25</x:v>
      </x:c>
      <x:c r="S78" s="18" t="n">
        <x:f>IF(A78=1,0,Q78/R78/3600)</x:f>
        <x:v>8.626894743546197</x:v>
      </x:c>
      <x:c r="T78" s="18" t="n">
        <x:f>IF(A78=1,0,SUM($S$2:S78)/24)</x:f>
        <x:v>19.869178300134024</x:v>
      </x:c>
      <x:c r="U78" t="str">
        <x:f>IF(A78=1,"初始羊",IF(AND(E78=1,C78&gt;1),"跨层解锁：需要上一层最终羊×2",IF(P78&gt;=32,"阶段门槛：建议配合广告/随机羊","常规解锁")))</x:f>
        <x:v>常规解锁</x:v>
      </x:c>
    </x:row>
    <x:row r="79">
      <x:c r="A79" t="n">
        <x:v>78</x:v>
      </x:c>
      <x:c r="B79" t="str">
        <x:v>软绵绵羊</x:v>
      </x:c>
      <x:c r="C79" t="n">
        <x:f>ROUNDUP(A79/20,0)</x:f>
        <x:v>4</x:v>
      </x:c>
      <x:c r="D79" t="str">
        <x:f>INDEX('参数'!$E$4:$E$8,MATCH(C79,'参数'!$D$4:$D$8,0))</x:f>
        <x:v>神明休息层</x:v>
      </x:c>
      <x:c r="E79" t="n">
        <x:f>MOD(A79-1,20)+1</x:f>
        <x:v>18</x:v>
      </x:c>
      <x:c r="F79" t="n">
        <x:f>IF(A79=1,"-",IF(E79=1,'参数'!$B$10,IF(E79&lt;=5,'参数'!$B$6,IF(E79&lt;=10,'参数'!$B$7,IF(E79&lt;=15,'参数'!$B$8,'参数'!$B$9)))) )</x:f>
        <x:v>2.5</x:v>
      </x:c>
      <x:c r="G79" s="14" t="n">
        <x:f>IF(A79=1,1,IF(E79=1,G78*'参数'!$B$10,G78*F79))</x:f>
        <x:v>1.9682930978054202e+27</x:v>
      </x:c>
      <x:c r="H79" s="14" t="n">
        <x:f>INDEX('参数'!$F$4:$F$8,MATCH(C79,'参数'!$D$4:$D$8,0))</x:f>
        <x:v>720</x:v>
      </x:c>
      <x:c r="I79" s="14" t="n">
        <x:f>G79*H79</x:f>
        <x:v>1.4171710304199027e+30</x:v>
      </x:c>
      <x:c r="J79" s="14" t="str">
        <x:f>"第n次 = 基础购买价 × 所属世界增长倍率^(n-1)"</x:f>
        <x:v>第n次 = 基础购买价 × 所属世界增长倍率^(n-1)</x:v>
      </x:c>
      <x:c r="K79" s="14" t="n">
        <x:f>I79*INDEX('参数'!$G$4:$G$8,MATCH(C79,'参数'!$D$4:$D$8,0))^('参数'!$B$5-1)</x:f>
        <x:v>1.0558746981769075e+31</x:v>
      </x:c>
      <x:c r="L79" t="str">
        <x:f>INDEX('参数'!$I$4:$I$8,MATCH(C79,'参数'!$H$4:$H$8,0))</x:f>
        <x:v>Lv.3</x:v>
      </x:c>
      <x:c r="M79" t="n">
        <x:f>INDEX('参数'!$J$4:$J$8,MATCH(C79,'参数'!$H$4:$H$8,0))</x:f>
        <x:v>2</x:v>
      </x:c>
      <x:c r="N79" t="n">
        <x:f>IF(A79=1,"-",IF(AND(E79=1,C79&gt;1),MAX((C79-2)*20+1,A79-1-INDEX('参数'!$J$4:$J$8,MATCH(C79-1,'参数'!$H$4:$H$8,0))),MAX((C79-1)*20+1,A79-1-M79)))</x:f>
        <x:v>75</x:v>
      </x:c>
      <x:c r="O79" t="str">
        <x:f>IF(A79=1,"-",INDEX($B$2:$B$101,MATCH(N79,$A$2:$A$101,0)))</x:f>
        <x:v>懒懒神羊</x:v>
      </x:c>
      <x:c r="P79" s="16" t="n">
        <x:f>IF(A79=1,0,POWER(2,A79-N79))</x:f>
        <x:v>8</x:v>
      </x:c>
      <x:c r="Q79" s="14" t="n">
        <x:f>IF(A79=1,0,INDEX($I$2:$I$101,MATCH(N79,$A$2:$A$101,0))*(POWER(INDEX('参数'!$G$4:$G$8,MATCH(INDEX($C$2:$C$101,MATCH(N79,$A$2:$A$101,0)),'参数'!$D$4:$D$8,0)),P79)-1)/(INDEX('参数'!$G$4:$G$8,MATCH(INDEX($C$2:$C$101,MATCH(N79,$A$2:$A$101,0)),'参数'!$D$4:$D$8,0))-1))</x:f>
        <x:v>1.7996355980788115e+30</x:v>
      </x:c>
      <x:c r="R79" s="14" t="n">
        <x:f>IF(A79=1,0,G78*'参数'!$B$4)</x:f>
        <x:v>6.298537912977345e+25</x:v>
      </x:c>
      <x:c r="S79" s="18" t="n">
        <x:f>IF(A79=1,0,Q79/R79/3600)</x:f>
        <x:v>7.9367431640625</x:v>
      </x:c>
      <x:c r="T79" s="18" t="n">
        <x:f>IF(A79=1,0,SUM($S$2:S79)/24)</x:f>
        <x:v>20.19987593196996</x:v>
      </x:c>
      <x:c r="U79" t="str">
        <x:f>IF(A79=1,"初始羊",IF(AND(E79=1,C79&gt;1),"跨层解锁：需要上一层最终羊×2",IF(P79&gt;=32,"阶段门槛：建议配合广告/随机羊","常规解锁")))</x:f>
        <x:v>常规解锁</x:v>
      </x:c>
    </x:row>
    <x:row r="80">
      <x:c r="A80" t="n">
        <x:v>79</x:v>
      </x:c>
      <x:c r="B80" t="str">
        <x:v>天堂摸鱼羊</x:v>
      </x:c>
      <x:c r="C80" t="n">
        <x:f>ROUNDUP(A80/20,0)</x:f>
        <x:v>4</x:v>
      </x:c>
      <x:c r="D80" t="str">
        <x:f>INDEX('参数'!$E$4:$E$8,MATCH(C80,'参数'!$D$4:$D$8,0))</x:f>
        <x:v>神明休息层</x:v>
      </x:c>
      <x:c r="E80" t="n">
        <x:f>MOD(A80-1,20)+1</x:f>
        <x:v>19</x:v>
      </x:c>
      <x:c r="F80" t="n">
        <x:f>IF(A80=1,"-",IF(E80=1,'参数'!$B$10,IF(E80&lt;=5,'参数'!$B$6,IF(E80&lt;=10,'参数'!$B$7,IF(E80&lt;=15,'参数'!$B$8,'参数'!$B$9)))) )</x:f>
        <x:v>2.5</x:v>
      </x:c>
      <x:c r="G80" s="14" t="n">
        <x:f>IF(A80=1,1,IF(E80=1,G79*'参数'!$B$10,G79*F80))</x:f>
        <x:v>4.920732744513551e+27</x:v>
      </x:c>
      <x:c r="H80" s="14" t="n">
        <x:f>INDEX('参数'!$F$4:$F$8,MATCH(C80,'参数'!$D$4:$D$8,0))</x:f>
        <x:v>720</x:v>
      </x:c>
      <x:c r="I80" s="14" t="n">
        <x:f>G80*H80</x:f>
        <x:v>3.5429275760497565e+30</x:v>
      </x:c>
      <x:c r="J80" s="14" t="str">
        <x:f>"第n次 = 基础购买价 × 所属世界增长倍率^(n-1)"</x:f>
        <x:v>第n次 = 基础购买价 × 所属世界增长倍率^(n-1)</x:v>
      </x:c>
      <x:c r="K80" s="14" t="n">
        <x:f>I80*INDEX('参数'!$G$4:$G$8,MATCH(C80,'参数'!$D$4:$D$8,0))^('参数'!$B$5-1)</x:f>
        <x:v>2.6396867454422685e+31</x:v>
      </x:c>
      <x:c r="L80" t="str">
        <x:f>INDEX('参数'!$I$4:$I$8,MATCH(C80,'参数'!$H$4:$H$8,0))</x:f>
        <x:v>Lv.3</x:v>
      </x:c>
      <x:c r="M80" t="n">
        <x:f>INDEX('参数'!$J$4:$J$8,MATCH(C80,'参数'!$H$4:$H$8,0))</x:f>
        <x:v>2</x:v>
      </x:c>
      <x:c r="N80" t="n">
        <x:f>IF(A80=1,"-",IF(AND(E80=1,C80&gt;1),MAX((C80-2)*20+1,A80-1-INDEX('参数'!$J$4:$J$8,MATCH(C80-1,'参数'!$H$4:$H$8,0))),MAX((C80-1)*20+1,A80-1-M80)))</x:f>
        <x:v>76</x:v>
      </x:c>
      <x:c r="O80" t="str">
        <x:f>IF(A80=1,"-",INDEX($B$2:$B$101,MATCH(N80,$A$2:$A$101,0)))</x:f>
        <x:v>云海羊</x:v>
      </x:c>
      <x:c r="P80" s="16" t="n">
        <x:f>IF(A80=1,0,POWER(2,A80-N80))</x:f>
        <x:v>8</x:v>
      </x:c>
      <x:c r="Q80" s="14" t="n">
        <x:f>IF(A80=1,0,INDEX($I$2:$I$101,MATCH(N80,$A$2:$A$101,0))*(POWER(INDEX('参数'!$G$4:$G$8,MATCH(INDEX($C$2:$C$101,MATCH(N80,$A$2:$A$101,0)),'参数'!$D$4:$D$8,0)),P80)-1)/(INDEX('参数'!$G$4:$G$8,MATCH(INDEX($C$2:$C$101,MATCH(N80,$A$2:$A$101,0)),'参数'!$D$4:$D$8,0))-1))</x:f>
        <x:v>4.499088995197029e+30</x:v>
      </x:c>
      <x:c r="R80" s="14" t="n">
        <x:f>IF(A80=1,0,G79*'参数'!$B$4)</x:f>
        <x:v>1.5746344782443363e+26</x:v>
      </x:c>
      <x:c r="S80" s="18" t="n">
        <x:f>IF(A80=1,0,Q80/R80/3600)</x:f>
        <x:v>7.9367431640625</x:v>
      </x:c>
      <x:c r="T80" s="18" t="n">
        <x:f>IF(A80=1,0,SUM($S$2:S80)/24)</x:f>
        <x:v>20.5305735638059</x:v>
      </x:c>
      <x:c r="U80" t="str">
        <x:f>IF(A80=1,"初始羊",IF(AND(E80=1,C80&gt;1),"跨层解锁：需要上一层最终羊×2",IF(P80&gt;=32,"阶段门槛：建议配合广告/随机羊","常规解锁")))</x:f>
        <x:v>常规解锁</x:v>
      </x:c>
    </x:row>
    <x:row r="81">
      <x:c r="A81" t="n">
        <x:v>80</x:v>
      </x:c>
      <x:c r="B81" t="str">
        <x:v>神明觉醒羊</x:v>
      </x:c>
      <x:c r="C81" t="n">
        <x:f>ROUNDUP(A81/20,0)</x:f>
        <x:v>4</x:v>
      </x:c>
      <x:c r="D81" t="str">
        <x:f>INDEX('参数'!$E$4:$E$8,MATCH(C81,'参数'!$D$4:$D$8,0))</x:f>
        <x:v>神明休息层</x:v>
      </x:c>
      <x:c r="E81" t="n">
        <x:f>MOD(A81-1,20)+1</x:f>
        <x:v>20</x:v>
      </x:c>
      <x:c r="F81" t="n">
        <x:f>IF(A81=1,"-",IF(E81=1,'参数'!$B$10,IF(E81&lt;=5,'参数'!$B$6,IF(E81&lt;=10,'参数'!$B$7,IF(E81&lt;=15,'参数'!$B$8,'参数'!$B$9)))) )</x:f>
        <x:v>2.5</x:v>
      </x:c>
      <x:c r="G81" s="14" t="n">
        <x:f>IF(A81=1,1,IF(E81=1,G80*'参数'!$B$10,G80*F81))</x:f>
        <x:v>1.2301831861283877e+28</x:v>
      </x:c>
      <x:c r="H81" s="14" t="n">
        <x:f>INDEX('参数'!$F$4:$F$8,MATCH(C81,'参数'!$D$4:$D$8,0))</x:f>
        <x:v>720</x:v>
      </x:c>
      <x:c r="I81" s="14" t="n">
        <x:f>G81*H81</x:f>
        <x:v>8.857318940124391e+30</x:v>
      </x:c>
      <x:c r="J81" s="14" t="str">
        <x:f>"第n次 = 基础购买价 × 所属世界增长倍率^(n-1)"</x:f>
        <x:v>第n次 = 基础购买价 × 所属世界增长倍率^(n-1)</x:v>
      </x:c>
      <x:c r="K81" s="14" t="n">
        <x:f>I81*INDEX('参数'!$G$4:$G$8,MATCH(C81,'参数'!$D$4:$D$8,0))^('参数'!$B$5-1)</x:f>
        <x:v>6.599216863605672e+31</x:v>
      </x:c>
      <x:c r="L81" t="str">
        <x:f>INDEX('参数'!$I$4:$I$8,MATCH(C81,'参数'!$H$4:$H$8,0))</x:f>
        <x:v>Lv.3</x:v>
      </x:c>
      <x:c r="M81" t="n">
        <x:f>INDEX('参数'!$J$4:$J$8,MATCH(C81,'参数'!$H$4:$H$8,0))</x:f>
        <x:v>2</x:v>
      </x:c>
      <x:c r="N81" t="n">
        <x:f>IF(A81=1,"-",IF(AND(E81=1,C81&gt;1),MAX((C81-2)*20+1,A81-1-INDEX('参数'!$J$4:$J$8,MATCH(C81-1,'参数'!$H$4:$H$8,0))),MAX((C81-1)*20+1,A81-1-M81)))</x:f>
        <x:v>77</x:v>
      </x:c>
      <x:c r="O81" t="str">
        <x:f>IF(A81=1,"-",INDEX($B$2:$B$101,MATCH(N81,$A$2:$A$101,0)))</x:f>
        <x:v>泡泡羊神</x:v>
      </x:c>
      <x:c r="P81" s="16" t="n">
        <x:f>IF(A81=1,0,POWER(2,A81-N81))</x:f>
        <x:v>8</x:v>
      </x:c>
      <x:c r="Q81" s="14" t="n">
        <x:f>IF(A81=1,0,INDEX($I$2:$I$101,MATCH(N81,$A$2:$A$101,0))*(POWER(INDEX('参数'!$G$4:$G$8,MATCH(INDEX($C$2:$C$101,MATCH(N81,$A$2:$A$101,0)),'参数'!$D$4:$D$8,0)),P81)-1)/(INDEX('参数'!$G$4:$G$8,MATCH(INDEX($C$2:$C$101,MATCH(N81,$A$2:$A$101,0)),'参数'!$D$4:$D$8,0))-1))</x:f>
        <x:v>1.124772248799257e+31</x:v>
      </x:c>
      <x:c r="R81" s="14" t="n">
        <x:f>IF(A81=1,0,G80*'参数'!$B$4)</x:f>
        <x:v>3.9365861956108405e+26</x:v>
      </x:c>
      <x:c r="S81" s="18" t="n">
        <x:f>IF(A81=1,0,Q81/R81/3600)</x:f>
        <x:v>7.9367431640625</x:v>
      </x:c>
      <x:c r="T81" s="18" t="n">
        <x:f>IF(A81=1,0,SUM($S$2:S81)/24)</x:f>
        <x:v>20.861271195641834</x:v>
      </x:c>
      <x:c r="U81" t="str">
        <x:f>IF(A81=1,"初始羊",IF(AND(E81=1,C81&gt;1),"跨层解锁：需要上一层最终羊×2",IF(P81&gt;=32,"阶段门槛：建议配合广告/随机羊","常规解锁")))</x:f>
        <x:v>常规解锁</x:v>
      </x:c>
    </x:row>
    <x:row r="82">
      <x:c r="A82" t="n">
        <x:v>81</x:v>
      </x:c>
      <x:c r="B82" t="str">
        <x:v>创世羊</x:v>
      </x:c>
      <x:c r="C82" t="n">
        <x:f>ROUNDUP(A82/20,0)</x:f>
        <x:v>5</x:v>
      </x:c>
      <x:c r="D82" t="str">
        <x:f>INDEX('参数'!$E$4:$E$8,MATCH(C82,'参数'!$D$4:$D$8,0))</x:f>
        <x:v>终极咩咩宇宙</x:v>
      </x:c>
      <x:c r="E82" t="n">
        <x:f>MOD(A82-1,20)+1</x:f>
        <x:v>1</x:v>
      </x:c>
      <x:c r="F82" t="n">
        <x:f>IF(A82=1,"-",IF(E82=1,'参数'!$B$10,IF(E82&lt;=5,'参数'!$B$6,IF(E82&lt;=10,'参数'!$B$7,IF(E82&lt;=15,'参数'!$B$8,'参数'!$B$9)))) )</x:f>
        <x:v>3</x:v>
      </x:c>
      <x:c r="G82" s="14" t="n">
        <x:f>IF(A82=1,1,IF(E82=1,G81*'参数'!$B$10,G81*F82))</x:f>
        <x:v>3.6905495583851627e+28</x:v>
      </x:c>
      <x:c r="H82" s="14" t="n">
        <x:f>INDEX('参数'!$F$4:$F$8,MATCH(C82,'参数'!$D$4:$D$8,0))</x:f>
        <x:v>1200</x:v>
      </x:c>
      <x:c r="I82" s="14" t="n">
        <x:f>G82*H82</x:f>
        <x:v>4.428659470062195e+31</x:v>
      </x:c>
      <x:c r="J82" s="14" t="str">
        <x:f>"第n次 = 基础购买价 × 所属世界增长倍率^(n-1)"</x:f>
        <x:v>第n次 = 基础购买价 × 所属世界增长倍率^(n-1)</x:v>
      </x:c>
      <x:c r="K82" s="14" t="n">
        <x:f>I82*INDEX('参数'!$G$4:$G$8,MATCH(C82,'参数'!$D$4:$D$8,0))^('参数'!$B$5-1)</x:f>
        <x:v>2.1193122097576724e+32</x:v>
      </x:c>
      <x:c r="L82" t="str">
        <x:f>INDEX('参数'!$I$4:$I$8,MATCH(C82,'参数'!$H$4:$H$8,0))</x:f>
        <x:v>Lv.4</x:v>
      </x:c>
      <x:c r="M82" t="n">
        <x:f>INDEX('参数'!$J$4:$J$8,MATCH(C82,'参数'!$H$4:$H$8,0))</x:f>
        <x:v>1</x:v>
      </x:c>
      <x:c r="N82" t="n">
        <x:f>IF(A82=1,"-",IF(AND(E82=1,C82&gt;1),MAX((C82-2)*20+1,A82-1-INDEX('参数'!$J$4:$J$8,MATCH(C82-1,'参数'!$H$4:$H$8,0))),MAX((C82-1)*20+1,A82-1-M82)))</x:f>
        <x:v>78</x:v>
      </x:c>
      <x:c r="O82" t="str">
        <x:f>IF(A82=1,"-",INDEX($B$2:$B$101,MATCH(N82,$A$2:$A$101,0)))</x:f>
        <x:v>软绵绵羊</x:v>
      </x:c>
      <x:c r="P82" s="16" t="n">
        <x:f>IF(A82=1,0,POWER(2,A82-N82))</x:f>
        <x:v>8</x:v>
      </x:c>
      <x:c r="Q82" s="14" t="n">
        <x:f>IF(A82=1,0,INDEX($I$2:$I$101,MATCH(N82,$A$2:$A$101,0))*(POWER(INDEX('参数'!$G$4:$G$8,MATCH(INDEX($C$2:$C$101,MATCH(N82,$A$2:$A$101,0)),'参数'!$D$4:$D$8,0)),P82)-1)/(INDEX('参数'!$G$4:$G$8,MATCH(INDEX($C$2:$C$101,MATCH(N82,$A$2:$A$101,0)),'参数'!$D$4:$D$8,0))-1))</x:f>
        <x:v>2.811930621998143e+31</x:v>
      </x:c>
      <x:c r="R82" s="14" t="n">
        <x:f>IF(A82=1,0,G81*'参数'!$B$4)</x:f>
        <x:v>9.841465489027101e+26</x:v>
      </x:c>
      <x:c r="S82" s="18" t="n">
        <x:f>IF(A82=1,0,Q82/R82/3600)</x:f>
        <x:v>7.936743164062501</x:v>
      </x:c>
      <x:c r="T82" s="18" t="n">
        <x:f>IF(A82=1,0,SUM($S$2:S82)/24)</x:f>
        <x:v>21.19196882747777</x:v>
      </x:c>
      <x:c r="U82" t="str">
        <x:f>IF(A82=1,"初始羊",IF(AND(E82=1,C82&gt;1),"跨层解锁：需要上一层最终羊×2",IF(P82&gt;=32,"阶段门槛：建议配合广告/随机羊","常规解锁")))</x:f>
        <x:v>跨层解锁：需要上一层最终羊×2</x:v>
      </x:c>
    </x:row>
    <x:row r="83">
      <x:c r="A83" t="n">
        <x:v>82</x:v>
      </x:c>
      <x:c r="B83" t="str">
        <x:v>时间羊</x:v>
      </x:c>
      <x:c r="C83" t="n">
        <x:f>ROUNDUP(A83/20,0)</x:f>
        <x:v>5</x:v>
      </x:c>
      <x:c r="D83" t="str">
        <x:f>INDEX('参数'!$E$4:$E$8,MATCH(C83,'参数'!$D$4:$D$8,0))</x:f>
        <x:v>终极咩咩宇宙</x:v>
      </x:c>
      <x:c r="E83" t="n">
        <x:f>MOD(A83-1,20)+1</x:f>
        <x:v>2</x:v>
      </x:c>
      <x:c r="F83" t="n">
        <x:f>IF(A83=1,"-",IF(E83=1,'参数'!$B$10,IF(E83&lt;=5,'参数'!$B$6,IF(E83&lt;=10,'参数'!$B$7,IF(E83&lt;=15,'参数'!$B$8,'参数'!$B$9)))) )</x:f>
        <x:v>2</x:v>
      </x:c>
      <x:c r="G83" s="14" t="n">
        <x:f>IF(A83=1,1,IF(E83=1,G82*'参数'!$B$10,G82*F83))</x:f>
        <x:v>7.3810991167703255e+28</x:v>
      </x:c>
      <x:c r="H83" s="14" t="n">
        <x:f>INDEX('参数'!$F$4:$F$8,MATCH(C83,'参数'!$D$4:$D$8,0))</x:f>
        <x:v>1200</x:v>
      </x:c>
      <x:c r="I83" s="14" t="n">
        <x:f>G83*H83</x:f>
        <x:v>8.85731894012439e+31</x:v>
      </x:c>
      <x:c r="J83" s="14" t="str">
        <x:f>"第n次 = 基础购买价 × 所属世界增长倍率^(n-1)"</x:f>
        <x:v>第n次 = 基础购买价 × 所属世界增长倍率^(n-1)</x:v>
      </x:c>
      <x:c r="K83" s="14" t="n">
        <x:f>I83*INDEX('参数'!$G$4:$G$8,MATCH(C83,'参数'!$D$4:$D$8,0))^('参数'!$B$5-1)</x:f>
        <x:v>4.238624419515345e+32</x:v>
      </x:c>
      <x:c r="L83" t="str">
        <x:f>INDEX('参数'!$I$4:$I$8,MATCH(C83,'参数'!$H$4:$H$8,0))</x:f>
        <x:v>Lv.4</x:v>
      </x:c>
      <x:c r="M83" t="n">
        <x:f>INDEX('参数'!$J$4:$J$8,MATCH(C83,'参数'!$H$4:$H$8,0))</x:f>
        <x:v>1</x:v>
      </x:c>
      <x:c r="N83" t="n">
        <x:f>IF(A83=1,"-",IF(AND(E83=1,C83&gt;1),MAX((C83-2)*20+1,A83-1-INDEX('参数'!$J$4:$J$8,MATCH(C83-1,'参数'!$H$4:$H$8,0))),MAX((C83-1)*20+1,A83-1-M83)))</x:f>
        <x:v>81</x:v>
      </x:c>
      <x:c r="O83" t="str">
        <x:f>IF(A83=1,"-",INDEX($B$2:$B$101,MATCH(N83,$A$2:$A$101,0)))</x:f>
        <x:v>创世羊</x:v>
      </x:c>
      <x:c r="P83" s="16" t="n">
        <x:f>IF(A83=1,0,POWER(2,A83-N83))</x:f>
        <x:v>2</x:v>
      </x:c>
      <x:c r="Q83" s="14" t="n">
        <x:f>IF(A83=1,0,INDEX($I$2:$I$101,MATCH(N83,$A$2:$A$101,0))*(POWER(INDEX('参数'!$G$4:$G$8,MATCH(INDEX($C$2:$C$101,MATCH(N83,$A$2:$A$101,0)),'参数'!$D$4:$D$8,0)),P83)-1)/(INDEX('参数'!$G$4:$G$8,MATCH(INDEX($C$2:$C$101,MATCH(N83,$A$2:$A$101,0)),'参数'!$D$4:$D$8,0))-1))</x:f>
        <x:v>9.698764239436207e+31</x:v>
      </x:c>
      <x:c r="R83" s="14" t="n">
        <x:f>IF(A83=1,0,G82*'参数'!$B$4)</x:f>
        <x:v>2.95243964670813e+27</x:v>
      </x:c>
      <x:c r="S83" s="18" t="n">
        <x:f>IF(A83=1,0,Q83/R83/3600)</x:f>
        <x:v>9.125</x:v>
      </x:c>
      <x:c r="T83" s="18" t="n">
        <x:f>IF(A83=1,0,SUM($S$2:S83)/24)</x:f>
        <x:v>21.572177160811105</x:v>
      </x:c>
      <x:c r="U83" t="str">
        <x:f>IF(A83=1,"初始羊",IF(AND(E83=1,C83&gt;1),"跨层解锁：需要上一层最终羊×2",IF(P83&gt;=32,"阶段门槛：建议配合广告/随机羊","常规解锁")))</x:f>
        <x:v>常规解锁</x:v>
      </x:c>
    </x:row>
    <x:row r="84">
      <x:c r="A84" t="n">
        <x:v>83</x:v>
      </x:c>
      <x:c r="B84" t="str">
        <x:v>像素羊</x:v>
      </x:c>
      <x:c r="C84" t="n">
        <x:f>ROUNDUP(A84/20,0)</x:f>
        <x:v>5</x:v>
      </x:c>
      <x:c r="D84" t="str">
        <x:f>INDEX('参数'!$E$4:$E$8,MATCH(C84,'参数'!$D$4:$D$8,0))</x:f>
        <x:v>终极咩咩宇宙</x:v>
      </x:c>
      <x:c r="E84" t="n">
        <x:f>MOD(A84-1,20)+1</x:f>
        <x:v>3</x:v>
      </x:c>
      <x:c r="F84" t="n">
        <x:f>IF(A84=1,"-",IF(E84=1,'参数'!$B$10,IF(E84&lt;=5,'参数'!$B$6,IF(E84&lt;=10,'参数'!$B$7,IF(E84&lt;=15,'参数'!$B$8,'参数'!$B$9)))) )</x:f>
        <x:v>2</x:v>
      </x:c>
      <x:c r="G84" s="14" t="n">
        <x:f>IF(A84=1,1,IF(E84=1,G83*'参数'!$B$10,G83*F84))</x:f>
        <x:v>1.4762198233540651e+29</x:v>
      </x:c>
      <x:c r="H84" s="14" t="n">
        <x:f>INDEX('参数'!$F$4:$F$8,MATCH(C84,'参数'!$D$4:$D$8,0))</x:f>
        <x:v>1200</x:v>
      </x:c>
      <x:c r="I84" s="14" t="n">
        <x:f>G84*H84</x:f>
        <x:v>1.771463788024878e+32</x:v>
      </x:c>
      <x:c r="J84" s="14" t="str">
        <x:f>"第n次 = 基础购买价 × 所属世界增长倍率^(n-1)"</x:f>
        <x:v>第n次 = 基础购买价 × 所属世界增长倍率^(n-1)</x:v>
      </x:c>
      <x:c r="K84" s="14" t="n">
        <x:f>I84*INDEX('参数'!$G$4:$G$8,MATCH(C84,'参数'!$D$4:$D$8,0))^('参数'!$B$5-1)</x:f>
        <x:v>8.47724883903069e+32</x:v>
      </x:c>
      <x:c r="L84" t="str">
        <x:f>INDEX('参数'!$I$4:$I$8,MATCH(C84,'参数'!$H$4:$H$8,0))</x:f>
        <x:v>Lv.4</x:v>
      </x:c>
      <x:c r="M84" t="n">
        <x:f>INDEX('参数'!$J$4:$J$8,MATCH(C84,'参数'!$H$4:$H$8,0))</x:f>
        <x:v>1</x:v>
      </x:c>
      <x:c r="N84" t="n">
        <x:f>IF(A84=1,"-",IF(AND(E84=1,C84&gt;1),MAX((C84-2)*20+1,A84-1-INDEX('参数'!$J$4:$J$8,MATCH(C84-1,'参数'!$H$4:$H$8,0))),MAX((C84-1)*20+1,A84-1-M84)))</x:f>
        <x:v>81</x:v>
      </x:c>
      <x:c r="O84" t="str">
        <x:f>IF(A84=1,"-",INDEX($B$2:$B$101,MATCH(N84,$A$2:$A$101,0)))</x:f>
        <x:v>创世羊</x:v>
      </x:c>
      <x:c r="P84" s="16" t="n">
        <x:f>IF(A84=1,0,POWER(2,A84-N84))</x:f>
        <x:v>4</x:v>
      </x:c>
      <x:c r="Q84" s="14" t="n">
        <x:f>IF(A84=1,0,INDEX($I$2:$I$101,MATCH(N84,$A$2:$A$101,0))*(POWER(INDEX('参数'!$G$4:$G$8,MATCH(INDEX($C$2:$C$101,MATCH(N84,$A$2:$A$101,0)),'参数'!$D$4:$D$8,0)),P84)-1)/(INDEX('参数'!$G$4:$G$8,MATCH(INDEX($C$2:$C$101,MATCH(N84,$A$2:$A$101,0)),'参数'!$D$4:$D$8,0))-1))</x:f>
        <x:v>2.343318427890182e+32</x:v>
      </x:c>
      <x:c r="R84" s="14" t="n">
        <x:f>IF(A84=1,0,G83*'参数'!$B$4)</x:f>
        <x:v>5.90487929341626e+27</x:v>
      </x:c>
      <x:c r="S84" s="18" t="n">
        <x:f>IF(A84=1,0,Q84/R84/3600)</x:f>
        <x:v>11.023456249999999</x:v>
      </x:c>
      <x:c r="T84" s="18" t="n">
        <x:f>IF(A84=1,0,SUM($S$2:S84)/24)</x:f>
        <x:v>22.031487837894435</x:v>
      </x:c>
      <x:c r="U84" t="str">
        <x:f>IF(A84=1,"初始羊",IF(AND(E84=1,C84&gt;1),"跨层解锁：需要上一层最终羊×2",IF(P84&gt;=32,"阶段门槛：建议配合广告/随机羊","常规解锁")))</x:f>
        <x:v>常规解锁</x:v>
      </x:c>
    </x:row>
    <x:row r="85">
      <x:c r="A85" t="n">
        <x:v>84</x:v>
      </x:c>
      <x:c r="B85" t="str">
        <x:v>涂鸦羊</x:v>
      </x:c>
      <x:c r="C85" t="n">
        <x:f>ROUNDUP(A85/20,0)</x:f>
        <x:v>5</x:v>
      </x:c>
      <x:c r="D85" t="str">
        <x:f>INDEX('参数'!$E$4:$E$8,MATCH(C85,'参数'!$D$4:$D$8,0))</x:f>
        <x:v>终极咩咩宇宙</x:v>
      </x:c>
      <x:c r="E85" t="n">
        <x:f>MOD(A85-1,20)+1</x:f>
        <x:v>4</x:v>
      </x:c>
      <x:c r="F85" t="n">
        <x:f>IF(A85=1,"-",IF(E85=1,'参数'!$B$10,IF(E85&lt;=5,'参数'!$B$6,IF(E85&lt;=10,'参数'!$B$7,IF(E85&lt;=15,'参数'!$B$8,'参数'!$B$9)))) )</x:f>
        <x:v>2</x:v>
      </x:c>
      <x:c r="G85" s="14" t="n">
        <x:f>IF(A85=1,1,IF(E85=1,G84*'参数'!$B$10,G84*F85))</x:f>
        <x:v>2.9524396467081302e+29</x:v>
      </x:c>
      <x:c r="H85" s="14" t="n">
        <x:f>INDEX('参数'!$F$4:$F$8,MATCH(C85,'参数'!$D$4:$D$8,0))</x:f>
        <x:v>1200</x:v>
      </x:c>
      <x:c r="I85" s="14" t="n">
        <x:f>G85*H85</x:f>
        <x:v>3.542927576049756e+32</x:v>
      </x:c>
      <x:c r="J85" s="14" t="str">
        <x:f>"第n次 = 基础购买价 × 所属世界增长倍率^(n-1)"</x:f>
        <x:v>第n次 = 基础购买价 × 所属世界增长倍率^(n-1)</x:v>
      </x:c>
      <x:c r="K85" s="14" t="n">
        <x:f>I85*INDEX('参数'!$G$4:$G$8,MATCH(C85,'参数'!$D$4:$D$8,0))^('参数'!$B$5-1)</x:f>
        <x:v>1.695449767806138e+33</x:v>
      </x:c>
      <x:c r="L85" t="str">
        <x:f>INDEX('参数'!$I$4:$I$8,MATCH(C85,'参数'!$H$4:$H$8,0))</x:f>
        <x:v>Lv.4</x:v>
      </x:c>
      <x:c r="M85" t="n">
        <x:f>INDEX('参数'!$J$4:$J$8,MATCH(C85,'参数'!$H$4:$H$8,0))</x:f>
        <x:v>1</x:v>
      </x:c>
      <x:c r="N85" t="n">
        <x:f>IF(A85=1,"-",IF(AND(E85=1,C85&gt;1),MAX((C85-2)*20+1,A85-1-INDEX('参数'!$J$4:$J$8,MATCH(C85-1,'参数'!$H$4:$H$8,0))),MAX((C85-1)*20+1,A85-1-M85)))</x:f>
        <x:v>82</x:v>
      </x:c>
      <x:c r="O85" t="str">
        <x:f>IF(A85=1,"-",INDEX($B$2:$B$101,MATCH(N85,$A$2:$A$101,0)))</x:f>
        <x:v>时间羊</x:v>
      </x:c>
      <x:c r="P85" s="16" t="n">
        <x:f>IF(A85=1,0,POWER(2,A85-N85))</x:f>
        <x:v>4</x:v>
      </x:c>
      <x:c r="Q85" s="14" t="n">
        <x:f>IF(A85=1,0,INDEX($I$2:$I$101,MATCH(N85,$A$2:$A$101,0))*(POWER(INDEX('参数'!$G$4:$G$8,MATCH(INDEX($C$2:$C$101,MATCH(N85,$A$2:$A$101,0)),'参数'!$D$4:$D$8,0)),P85)-1)/(INDEX('参数'!$G$4:$G$8,MATCH(INDEX($C$2:$C$101,MATCH(N85,$A$2:$A$101,0)),'参数'!$D$4:$D$8,0))-1))</x:f>
        <x:v>4.686636855780364e+32</x:v>
      </x:c>
      <x:c r="R85" s="14" t="n">
        <x:f>IF(A85=1,0,G84*'参数'!$B$4)</x:f>
        <x:v>1.180975858683252e+28</x:v>
      </x:c>
      <x:c r="S85" s="18" t="n">
        <x:f>IF(A85=1,0,Q85/R85/3600)</x:f>
        <x:v>11.023456249999999</x:v>
      </x:c>
      <x:c r="T85" s="18" t="n">
        <x:f>IF(A85=1,0,SUM($S$2:S85)/24)</x:f>
        <x:v>22.49079851497777</x:v>
      </x:c>
      <x:c r="U85" t="str">
        <x:f>IF(A85=1,"初始羊",IF(AND(E85=1,C85&gt;1),"跨层解锁：需要上一层最终羊×2",IF(P85&gt;=32,"阶段门槛：建议配合广告/随机羊","常规解锁")))</x:f>
        <x:v>常规解锁</x:v>
      </x:c>
    </x:row>
    <x:row r="86">
      <x:c r="A86" t="n">
        <x:v>85</x:v>
      </x:c>
      <x:c r="B86" t="str">
        <x:v>BUG羊</x:v>
      </x:c>
      <x:c r="C86" t="n">
        <x:f>ROUNDUP(A86/20,0)</x:f>
        <x:v>5</x:v>
      </x:c>
      <x:c r="D86" t="str">
        <x:f>INDEX('参数'!$E$4:$E$8,MATCH(C86,'参数'!$D$4:$D$8,0))</x:f>
        <x:v>终极咩咩宇宙</x:v>
      </x:c>
      <x:c r="E86" t="n">
        <x:f>MOD(A86-1,20)+1</x:f>
        <x:v>5</x:v>
      </x:c>
      <x:c r="F86" t="n">
        <x:f>IF(A86=1,"-",IF(E86=1,'参数'!$B$10,IF(E86&lt;=5,'参数'!$B$6,IF(E86&lt;=10,'参数'!$B$7,IF(E86&lt;=15,'参数'!$B$8,'参数'!$B$9)))) )</x:f>
        <x:v>2</x:v>
      </x:c>
      <x:c r="G86" s="14" t="n">
        <x:f>IF(A86=1,1,IF(E86=1,G85*'参数'!$B$10,G85*F86))</x:f>
        <x:v>5.9048792934162604e+29</x:v>
      </x:c>
      <x:c r="H86" s="14" t="n">
        <x:f>INDEX('参数'!$F$4:$F$8,MATCH(C86,'参数'!$D$4:$D$8,0))</x:f>
        <x:v>1200</x:v>
      </x:c>
      <x:c r="I86" s="14" t="n">
        <x:f>G86*H86</x:f>
        <x:v>7.085855152099512e+32</x:v>
      </x:c>
      <x:c r="J86" s="14" t="str">
        <x:f>"第n次 = 基础购买价 × 所属世界增长倍率^(n-1)"</x:f>
        <x:v>第n次 = 基础购买价 × 所属世界增长倍率^(n-1)</x:v>
      </x:c>
      <x:c r="K86" s="14" t="n">
        <x:f>I86*INDEX('参数'!$G$4:$G$8,MATCH(C86,'参数'!$D$4:$D$8,0))^('参数'!$B$5-1)</x:f>
        <x:v>3.390899535612276e+33</x:v>
      </x:c>
      <x:c r="L86" t="str">
        <x:f>INDEX('参数'!$I$4:$I$8,MATCH(C86,'参数'!$H$4:$H$8,0))</x:f>
        <x:v>Lv.4</x:v>
      </x:c>
      <x:c r="M86" t="n">
        <x:f>INDEX('参数'!$J$4:$J$8,MATCH(C86,'参数'!$H$4:$H$8,0))</x:f>
        <x:v>1</x:v>
      </x:c>
      <x:c r="N86" t="n">
        <x:f>IF(A86=1,"-",IF(AND(E86=1,C86&gt;1),MAX((C86-2)*20+1,A86-1-INDEX('参数'!$J$4:$J$8,MATCH(C86-1,'参数'!$H$4:$H$8,0))),MAX((C86-1)*20+1,A86-1-M86)))</x:f>
        <x:v>83</x:v>
      </x:c>
      <x:c r="O86" t="str">
        <x:f>IF(A86=1,"-",INDEX($B$2:$B$101,MATCH(N86,$A$2:$A$101,0)))</x:f>
        <x:v>像素羊</x:v>
      </x:c>
      <x:c r="P86" s="16" t="n">
        <x:f>IF(A86=1,0,POWER(2,A86-N86))</x:f>
        <x:v>4</x:v>
      </x:c>
      <x:c r="Q86" s="14" t="n">
        <x:f>IF(A86=1,0,INDEX($I$2:$I$101,MATCH(N86,$A$2:$A$101,0))*(POWER(INDEX('参数'!$G$4:$G$8,MATCH(INDEX($C$2:$C$101,MATCH(N86,$A$2:$A$101,0)),'参数'!$D$4:$D$8,0)),P86)-1)/(INDEX('参数'!$G$4:$G$8,MATCH(INDEX($C$2:$C$101,MATCH(N86,$A$2:$A$101,0)),'参数'!$D$4:$D$8,0))-1))</x:f>
        <x:v>9.373273711560729e+32</x:v>
      </x:c>
      <x:c r="R86" s="14" t="n">
        <x:f>IF(A86=1,0,G85*'参数'!$B$4)</x:f>
        <x:v>2.361951717366504e+28</x:v>
      </x:c>
      <x:c r="S86" s="18" t="n">
        <x:f>IF(A86=1,0,Q86/R86/3600)</x:f>
        <x:v>11.023456249999999</x:v>
      </x:c>
      <x:c r="T86" s="18" t="n">
        <x:f>IF(A86=1,0,SUM($S$2:S86)/24)</x:f>
        <x:v>22.950109192061102</x:v>
      </x:c>
      <x:c r="U86" t="str">
        <x:f>IF(A86=1,"初始羊",IF(AND(E86=1,C86&gt;1),"跨层解锁：需要上一层最终羊×2",IF(P86&gt;=32,"阶段门槛：建议配合广告/随机羊","常规解锁")))</x:f>
        <x:v>常规解锁</x:v>
      </x:c>
    </x:row>
    <x:row r="87">
      <x:c r="A87" t="n">
        <x:v>86</x:v>
      </x:c>
      <x:c r="B87" t="str">
        <x:v>暂停羊神</x:v>
      </x:c>
      <x:c r="C87" t="n">
        <x:f>ROUNDUP(A87/20,0)</x:f>
        <x:v>5</x:v>
      </x:c>
      <x:c r="D87" t="str">
        <x:f>INDEX('参数'!$E$4:$E$8,MATCH(C87,'参数'!$D$4:$D$8,0))</x:f>
        <x:v>终极咩咩宇宙</x:v>
      </x:c>
      <x:c r="E87" t="n">
        <x:f>MOD(A87-1,20)+1</x:f>
        <x:v>6</x:v>
      </x:c>
      <x:c r="F87" t="n">
        <x:f>IF(A87=1,"-",IF(E87=1,'参数'!$B$10,IF(E87&lt;=5,'参数'!$B$6,IF(E87&lt;=10,'参数'!$B$7,IF(E87&lt;=15,'参数'!$B$8,'参数'!$B$9)))) )</x:f>
        <x:v>2.15</x:v>
      </x:c>
      <x:c r="G87" s="14" t="n">
        <x:f>IF(A87=1,1,IF(E87=1,G86*'参数'!$B$10,G86*F87))</x:f>
        <x:v>1.269549048084496e+30</x:v>
      </x:c>
      <x:c r="H87" s="14" t="n">
        <x:f>INDEX('参数'!$F$4:$F$8,MATCH(C87,'参数'!$D$4:$D$8,0))</x:f>
        <x:v>1200</x:v>
      </x:c>
      <x:c r="I87" s="14" t="n">
        <x:f>G87*H87</x:f>
        <x:v>1.5234588577013954e+33</x:v>
      </x:c>
      <x:c r="J87" s="14" t="str">
        <x:f>"第n次 = 基础购买价 × 所属世界增长倍率^(n-1)"</x:f>
        <x:v>第n次 = 基础购买价 × 所属世界增长倍率^(n-1)</x:v>
      </x:c>
      <x:c r="K87" s="14" t="n">
        <x:f>I87*INDEX('参数'!$G$4:$G$8,MATCH(C87,'参数'!$D$4:$D$8,0))^('参数'!$B$5-1)</x:f>
        <x:v>7.290434001566395e+33</x:v>
      </x:c>
      <x:c r="L87" t="str">
        <x:f>INDEX('参数'!$I$4:$I$8,MATCH(C87,'参数'!$H$4:$H$8,0))</x:f>
        <x:v>Lv.4</x:v>
      </x:c>
      <x:c r="M87" t="n">
        <x:f>INDEX('参数'!$J$4:$J$8,MATCH(C87,'参数'!$H$4:$H$8,0))</x:f>
        <x:v>1</x:v>
      </x:c>
      <x:c r="N87" t="n">
        <x:f>IF(A87=1,"-",IF(AND(E87=1,C87&gt;1),MAX((C87-2)*20+1,A87-1-INDEX('参数'!$J$4:$J$8,MATCH(C87-1,'参数'!$H$4:$H$8,0))),MAX((C87-1)*20+1,A87-1-M87)))</x:f>
        <x:v>84</x:v>
      </x:c>
      <x:c r="O87" t="str">
        <x:f>IF(A87=1,"-",INDEX($B$2:$B$101,MATCH(N87,$A$2:$A$101,0)))</x:f>
        <x:v>涂鸦羊</x:v>
      </x:c>
      <x:c r="P87" s="16" t="n">
        <x:f>IF(A87=1,0,POWER(2,A87-N87))</x:f>
        <x:v>4</x:v>
      </x:c>
      <x:c r="Q87" s="14" t="n">
        <x:f>IF(A87=1,0,INDEX($I$2:$I$101,MATCH(N87,$A$2:$A$101,0))*(POWER(INDEX('参数'!$G$4:$G$8,MATCH(INDEX($C$2:$C$101,MATCH(N87,$A$2:$A$101,0)),'参数'!$D$4:$D$8,0)),P87)-1)/(INDEX('参数'!$G$4:$G$8,MATCH(INDEX($C$2:$C$101,MATCH(N87,$A$2:$A$101,0)),'参数'!$D$4:$D$8,0))-1))</x:f>
        <x:v>1.8746547423121457e+33</x:v>
      </x:c>
      <x:c r="R87" s="14" t="n">
        <x:f>IF(A87=1,0,G86*'参数'!$B$4)</x:f>
        <x:v>4.723903434733008e+28</x:v>
      </x:c>
      <x:c r="S87" s="18" t="n">
        <x:f>IF(A87=1,0,Q87/R87/3600)</x:f>
        <x:v>11.023456249999999</x:v>
      </x:c>
      <x:c r="T87" s="18" t="n">
        <x:f>IF(A87=1,0,SUM($S$2:S87)/24)</x:f>
        <x:v>23.409419869144433</x:v>
      </x:c>
      <x:c r="U87" t="str">
        <x:f>IF(A87=1,"初始羊",IF(AND(E87=1,C87&gt;1),"跨层解锁：需要上一层最终羊×2",IF(P87&gt;=32,"阶段门槛：建议配合广告/随机羊","常规解锁")))</x:f>
        <x:v>常规解锁</x:v>
      </x:c>
    </x:row>
    <x:row r="88">
      <x:c r="A88" t="n">
        <x:v>87</x:v>
      </x:c>
      <x:c r="B88" t="str">
        <x:v>复制羊</x:v>
      </x:c>
      <x:c r="C88" t="n">
        <x:f>ROUNDUP(A88/20,0)</x:f>
        <x:v>5</x:v>
      </x:c>
      <x:c r="D88" t="str">
        <x:f>INDEX('参数'!$E$4:$E$8,MATCH(C88,'参数'!$D$4:$D$8,0))</x:f>
        <x:v>终极咩咩宇宙</x:v>
      </x:c>
      <x:c r="E88" t="n">
        <x:f>MOD(A88-1,20)+1</x:f>
        <x:v>7</x:v>
      </x:c>
      <x:c r="F88" t="n">
        <x:f>IF(A88=1,"-",IF(E88=1,'参数'!$B$10,IF(E88&lt;=5,'参数'!$B$6,IF(E88&lt;=10,'参数'!$B$7,IF(E88&lt;=15,'参数'!$B$8,'参数'!$B$9)))) )</x:f>
        <x:v>2.15</x:v>
      </x:c>
      <x:c r="G88" s="14" t="n">
        <x:f>IF(A88=1,1,IF(E88=1,G87*'参数'!$B$10,G87*F88))</x:f>
        <x:v>2.7295304533816666e+30</x:v>
      </x:c>
      <x:c r="H88" s="14" t="n">
        <x:f>INDEX('参数'!$F$4:$F$8,MATCH(C88,'参数'!$D$4:$D$8,0))</x:f>
        <x:v>1200</x:v>
      </x:c>
      <x:c r="I88" s="14" t="n">
        <x:f>G88*H88</x:f>
        <x:v>3.275436544058e+33</x:v>
      </x:c>
      <x:c r="J88" s="14" t="str">
        <x:f>"第n次 = 基础购买价 × 所属世界增长倍率^(n-1)"</x:f>
        <x:v>第n次 = 基础购买价 × 所属世界增长倍率^(n-1)</x:v>
      </x:c>
      <x:c r="K88" s="14" t="n">
        <x:f>I88*INDEX('参数'!$G$4:$G$8,MATCH(C88,'参数'!$D$4:$D$8,0))^('参数'!$B$5-1)</x:f>
        <x:v>1.5674433103367748e+34</x:v>
      </x:c>
      <x:c r="L88" t="str">
        <x:f>INDEX('参数'!$I$4:$I$8,MATCH(C88,'参数'!$H$4:$H$8,0))</x:f>
        <x:v>Lv.4</x:v>
      </x:c>
      <x:c r="M88" t="n">
        <x:f>INDEX('参数'!$J$4:$J$8,MATCH(C88,'参数'!$H$4:$H$8,0))</x:f>
        <x:v>1</x:v>
      </x:c>
      <x:c r="N88" t="n">
        <x:f>IF(A88=1,"-",IF(AND(E88=1,C88&gt;1),MAX((C88-2)*20+1,A88-1-INDEX('参数'!$J$4:$J$8,MATCH(C88-1,'参数'!$H$4:$H$8,0))),MAX((C88-1)*20+1,A88-1-M88)))</x:f>
        <x:v>85</x:v>
      </x:c>
      <x:c r="O88" t="str">
        <x:f>IF(A88=1,"-",INDEX($B$2:$B$101,MATCH(N88,$A$2:$A$101,0)))</x:f>
        <x:v>BUG羊</x:v>
      </x:c>
      <x:c r="P88" s="16" t="n">
        <x:f>IF(A88=1,0,POWER(2,A88-N88))</x:f>
        <x:v>4</x:v>
      </x:c>
      <x:c r="Q88" s="14" t="n">
        <x:f>IF(A88=1,0,INDEX($I$2:$I$101,MATCH(N88,$A$2:$A$101,0))*(POWER(INDEX('参数'!$G$4:$G$8,MATCH(INDEX($C$2:$C$101,MATCH(N88,$A$2:$A$101,0)),'参数'!$D$4:$D$8,0)),P88)-1)/(INDEX('参数'!$G$4:$G$8,MATCH(INDEX($C$2:$C$101,MATCH(N88,$A$2:$A$101,0)),'参数'!$D$4:$D$8,0))-1))</x:f>
        <x:v>3.7493094846242914e+33</x:v>
      </x:c>
      <x:c r="R88" s="14" t="n">
        <x:f>IF(A88=1,0,G87*'参数'!$B$4)</x:f>
        <x:v>1.0156392384675968e+29</x:v>
      </x:c>
      <x:c r="S88" s="18" t="n">
        <x:f>IF(A88=1,0,Q88/R88/3600)</x:f>
        <x:v>10.254377906976744</x:v>
      </x:c>
      <x:c r="T88" s="18" t="n">
        <x:f>IF(A88=1,0,SUM($S$2:S88)/24)</x:f>
        <x:v>23.836685615268465</x:v>
      </x:c>
      <x:c r="U88" t="str">
        <x:f>IF(A88=1,"初始羊",IF(AND(E88=1,C88&gt;1),"跨层解锁：需要上一层最终羊×2",IF(P88&gt;=32,"阶段门槛：建议配合广告/随机羊","常规解锁")))</x:f>
        <x:v>常规解锁</x:v>
      </x:c>
    </x:row>
    <x:row r="89">
      <x:c r="A89" t="n">
        <x:v>88</x:v>
      </x:c>
      <x:c r="B89" t="str">
        <x:v>表情包羊</x:v>
      </x:c>
      <x:c r="C89" t="n">
        <x:f>ROUNDUP(A89/20,0)</x:f>
        <x:v>5</x:v>
      </x:c>
      <x:c r="D89" t="str">
        <x:f>INDEX('参数'!$E$4:$E$8,MATCH(C89,'参数'!$D$4:$D$8,0))</x:f>
        <x:v>终极咩咩宇宙</x:v>
      </x:c>
      <x:c r="E89" t="n">
        <x:f>MOD(A89-1,20)+1</x:f>
        <x:v>8</x:v>
      </x:c>
      <x:c r="F89" t="n">
        <x:f>IF(A89=1,"-",IF(E89=1,'参数'!$B$10,IF(E89&lt;=5,'参数'!$B$6,IF(E89&lt;=10,'参数'!$B$7,IF(E89&lt;=15,'参数'!$B$8,'参数'!$B$9)))) )</x:f>
        <x:v>2.15</x:v>
      </x:c>
      <x:c r="G89" s="14" t="n">
        <x:f>IF(A89=1,1,IF(E89=1,G88*'参数'!$B$10,G88*F89))</x:f>
        <x:v>5.868490474770583e+30</x:v>
      </x:c>
      <x:c r="H89" s="14" t="n">
        <x:f>INDEX('参数'!$F$4:$F$8,MATCH(C89,'参数'!$D$4:$D$8,0))</x:f>
        <x:v>1200</x:v>
      </x:c>
      <x:c r="I89" s="14" t="n">
        <x:f>G89*H89</x:f>
        <x:v>7.042188569724699e+33</x:v>
      </x:c>
      <x:c r="J89" s="14" t="str">
        <x:f>"第n次 = 基础购买价 × 所属世界增长倍率^(n-1)"</x:f>
        <x:v>第n次 = 基础购买价 × 所属世界增长倍率^(n-1)</x:v>
      </x:c>
      <x:c r="K89" s="14" t="n">
        <x:f>I89*INDEX('参数'!$G$4:$G$8,MATCH(C89,'参数'!$D$4:$D$8,0))^('参数'!$B$5-1)</x:f>
        <x:v>3.3700031172240656e+34</x:v>
      </x:c>
      <x:c r="L89" t="str">
        <x:f>INDEX('参数'!$I$4:$I$8,MATCH(C89,'参数'!$H$4:$H$8,0))</x:f>
        <x:v>Lv.4</x:v>
      </x:c>
      <x:c r="M89" t="n">
        <x:f>INDEX('参数'!$J$4:$J$8,MATCH(C89,'参数'!$H$4:$H$8,0))</x:f>
        <x:v>1</x:v>
      </x:c>
      <x:c r="N89" t="n">
        <x:f>IF(A89=1,"-",IF(AND(E89=1,C89&gt;1),MAX((C89-2)*20+1,A89-1-INDEX('参数'!$J$4:$J$8,MATCH(C89-1,'参数'!$H$4:$H$8,0))),MAX((C89-1)*20+1,A89-1-M89)))</x:f>
        <x:v>86</x:v>
      </x:c>
      <x:c r="O89" t="str">
        <x:f>IF(A89=1,"-",INDEX($B$2:$B$101,MATCH(N89,$A$2:$A$101,0)))</x:f>
        <x:v>暂停羊神</x:v>
      </x:c>
      <x:c r="P89" s="16" t="n">
        <x:f>IF(A89=1,0,POWER(2,A89-N89))</x:f>
        <x:v>4</x:v>
      </x:c>
      <x:c r="Q89" s="14" t="n">
        <x:f>IF(A89=1,0,INDEX($I$2:$I$101,MATCH(N89,$A$2:$A$101,0))*(POWER(INDEX('参数'!$G$4:$G$8,MATCH(INDEX($C$2:$C$101,MATCH(N89,$A$2:$A$101,0)),'参数'!$D$4:$D$8,0)),P89)-1)/(INDEX('参数'!$G$4:$G$8,MATCH(INDEX($C$2:$C$101,MATCH(N89,$A$2:$A$101,0)),'参数'!$D$4:$D$8,0))-1))</x:f>
        <x:v>8.061015391942229e+33</x:v>
      </x:c>
      <x:c r="R89" s="14" t="n">
        <x:f>IF(A89=1,0,G88*'参数'!$B$4)</x:f>
        <x:v>2.1836243627053332e+29</x:v>
      </x:c>
      <x:c r="S89" s="18" t="n">
        <x:f>IF(A89=1,0,Q89/R89/3600)</x:f>
        <x:v>10.254377906976748</x:v>
      </x:c>
      <x:c r="T89" s="18" t="n">
        <x:f>IF(A89=1,0,SUM($S$2:S89)/24)</x:f>
        <x:v>24.263951361392497</x:v>
      </x:c>
      <x:c r="U89" t="str">
        <x:f>IF(A89=1,"初始羊",IF(AND(E89=1,C89&gt;1),"跨层解锁：需要上一层最终羊×2",IF(P89&gt;=32,"阶段门槛：建议配合广告/随机羊","常规解锁")))</x:f>
        <x:v>常规解锁</x:v>
      </x:c>
    </x:row>
    <x:row r="90">
      <x:c r="A90" t="n">
        <x:v>89</x:v>
      </x:c>
      <x:c r="B90" t="str">
        <x:v>宇宙奶嘴羊</x:v>
      </x:c>
      <x:c r="C90" t="n">
        <x:f>ROUNDUP(A90/20,0)</x:f>
        <x:v>5</x:v>
      </x:c>
      <x:c r="D90" t="str">
        <x:f>INDEX('参数'!$E$4:$E$8,MATCH(C90,'参数'!$D$4:$D$8,0))</x:f>
        <x:v>终极咩咩宇宙</x:v>
      </x:c>
      <x:c r="E90" t="n">
        <x:f>MOD(A90-1,20)+1</x:f>
        <x:v>9</x:v>
      </x:c>
      <x:c r="F90" t="n">
        <x:f>IF(A90=1,"-",IF(E90=1,'参数'!$B$10,IF(E90&lt;=5,'参数'!$B$6,IF(E90&lt;=10,'参数'!$B$7,IF(E90&lt;=15,'参数'!$B$8,'参数'!$B$9)))) )</x:f>
        <x:v>2.15</x:v>
      </x:c>
      <x:c r="G90" s="14" t="n">
        <x:f>IF(A90=1,1,IF(E90=1,G89*'参数'!$B$10,G89*F90))</x:f>
        <x:v>1.2617254520756753e+31</x:v>
      </x:c>
      <x:c r="H90" s="14" t="n">
        <x:f>INDEX('参数'!$F$4:$F$8,MATCH(C90,'参数'!$D$4:$D$8,0))</x:f>
        <x:v>1200</x:v>
      </x:c>
      <x:c r="I90" s="14" t="n">
        <x:f>G90*H90</x:f>
        <x:v>1.5140705424908103e+34</x:v>
      </x:c>
      <x:c r="J90" s="14" t="str">
        <x:f>"第n次 = 基础购买价 × 所属世界增长倍率^(n-1)"</x:f>
        <x:v>第n次 = 基础购买价 × 所属世界增长倍率^(n-1)</x:v>
      </x:c>
      <x:c r="K90" s="14" t="n">
        <x:f>I90*INDEX('参数'!$G$4:$G$8,MATCH(C90,'参数'!$D$4:$D$8,0))^('参数'!$B$5-1)</x:f>
        <x:v>7.245506702031741e+34</x:v>
      </x:c>
      <x:c r="L90" t="str">
        <x:f>INDEX('参数'!$I$4:$I$8,MATCH(C90,'参数'!$H$4:$H$8,0))</x:f>
        <x:v>Lv.4</x:v>
      </x:c>
      <x:c r="M90" t="n">
        <x:f>INDEX('参数'!$J$4:$J$8,MATCH(C90,'参数'!$H$4:$H$8,0))</x:f>
        <x:v>1</x:v>
      </x:c>
      <x:c r="N90" t="n">
        <x:f>IF(A90=1,"-",IF(AND(E90=1,C90&gt;1),MAX((C90-2)*20+1,A90-1-INDEX('参数'!$J$4:$J$8,MATCH(C90-1,'参数'!$H$4:$H$8,0))),MAX((C90-1)*20+1,A90-1-M90)))</x:f>
        <x:v>87</x:v>
      </x:c>
      <x:c r="O90" t="str">
        <x:f>IF(A90=1,"-",INDEX($B$2:$B$101,MATCH(N90,$A$2:$A$101,0)))</x:f>
        <x:v>复制羊</x:v>
      </x:c>
      <x:c r="P90" s="16" t="n">
        <x:f>IF(A90=1,0,POWER(2,A90-N90))</x:f>
        <x:v>4</x:v>
      </x:c>
      <x:c r="Q90" s="14" t="n">
        <x:f>IF(A90=1,0,INDEX($I$2:$I$101,MATCH(N90,$A$2:$A$101,0))*(POWER(INDEX('参数'!$G$4:$G$8,MATCH(INDEX($C$2:$C$101,MATCH(N90,$A$2:$A$101,0)),'参数'!$D$4:$D$8,0)),P90)-1)/(INDEX('参数'!$G$4:$G$8,MATCH(INDEX($C$2:$C$101,MATCH(N90,$A$2:$A$101,0)),'参数'!$D$4:$D$8,0))-1))</x:f>
        <x:v>1.7331183092675792e+34</x:v>
      </x:c>
      <x:c r="R90" s="14" t="n">
        <x:f>IF(A90=1,0,G89*'参数'!$B$4)</x:f>
        <x:v>4.6947923798164665e+29</x:v>
      </x:c>
      <x:c r="S90" s="18" t="n">
        <x:f>IF(A90=1,0,Q90/R90/3600)</x:f>
        <x:v>10.254377906976746</x:v>
      </x:c>
      <x:c r="T90" s="18" t="n">
        <x:f>IF(A90=1,0,SUM($S$2:S90)/24)</x:f>
        <x:v>24.691217107516525</x:v>
      </x:c>
      <x:c r="U90" t="str">
        <x:f>IF(A90=1,"初始羊",IF(AND(E90=1,C90&gt;1),"跨层解锁：需要上一层最终羊×2",IF(P90&gt;=32,"阶段门槛：建议配合广告/随机羊","常规解锁")))</x:f>
        <x:v>常规解锁</x:v>
      </x:c>
    </x:row>
    <x:row r="91">
      <x:c r="A91" t="n">
        <x:v>90</x:v>
      </x:c>
      <x:c r="B91" t="str">
        <x:v>羊羊管理员</x:v>
      </x:c>
      <x:c r="C91" t="n">
        <x:f>ROUNDUP(A91/20,0)</x:f>
        <x:v>5</x:v>
      </x:c>
      <x:c r="D91" t="str">
        <x:f>INDEX('参数'!$E$4:$E$8,MATCH(C91,'参数'!$D$4:$D$8,0))</x:f>
        <x:v>终极咩咩宇宙</x:v>
      </x:c>
      <x:c r="E91" t="n">
        <x:f>MOD(A91-1,20)+1</x:f>
        <x:v>10</x:v>
      </x:c>
      <x:c r="F91" t="n">
        <x:f>IF(A91=1,"-",IF(E91=1,'参数'!$B$10,IF(E91&lt;=5,'参数'!$B$6,IF(E91&lt;=10,'参数'!$B$7,IF(E91&lt;=15,'参数'!$B$8,'参数'!$B$9)))) )</x:f>
        <x:v>2.15</x:v>
      </x:c>
      <x:c r="G91" s="14" t="n">
        <x:f>IF(A91=1,1,IF(E91=1,G90*'参数'!$B$10,G90*F91))</x:f>
        <x:v>2.712709721962702e+31</x:v>
      </x:c>
      <x:c r="H91" s="14" t="n">
        <x:f>INDEX('参数'!$F$4:$F$8,MATCH(C91,'参数'!$D$4:$D$8,0))</x:f>
        <x:v>1200</x:v>
      </x:c>
      <x:c r="I91" s="14" t="n">
        <x:f>G91*H91</x:f>
        <x:v>3.2552516663552426e+34</x:v>
      </x:c>
      <x:c r="J91" s="14" t="str">
        <x:f>"第n次 = 基础购买价 × 所属世界增长倍率^(n-1)"</x:f>
        <x:v>第n次 = 基础购买价 × 所属世界增长倍率^(n-1)</x:v>
      </x:c>
      <x:c r="K91" s="14" t="n">
        <x:f>I91*INDEX('参数'!$G$4:$G$8,MATCH(C91,'参数'!$D$4:$D$8,0))^('参数'!$B$5-1)</x:f>
        <x:v>1.5577839409368245e+35</x:v>
      </x:c>
      <x:c r="L91" t="str">
        <x:f>INDEX('参数'!$I$4:$I$8,MATCH(C91,'参数'!$H$4:$H$8,0))</x:f>
        <x:v>Lv.4</x:v>
      </x:c>
      <x:c r="M91" t="n">
        <x:f>INDEX('参数'!$J$4:$J$8,MATCH(C91,'参数'!$H$4:$H$8,0))</x:f>
        <x:v>1</x:v>
      </x:c>
      <x:c r="N91" t="n">
        <x:f>IF(A91=1,"-",IF(AND(E91=1,C91&gt;1),MAX((C91-2)*20+1,A91-1-INDEX('参数'!$J$4:$J$8,MATCH(C91-1,'参数'!$H$4:$H$8,0))),MAX((C91-1)*20+1,A91-1-M91)))</x:f>
        <x:v>88</x:v>
      </x:c>
      <x:c r="O91" t="str">
        <x:f>IF(A91=1,"-",INDEX($B$2:$B$101,MATCH(N91,$A$2:$A$101,0)))</x:f>
        <x:v>表情包羊</x:v>
      </x:c>
      <x:c r="P91" s="16" t="n">
        <x:f>IF(A91=1,0,POWER(2,A91-N91))</x:f>
        <x:v>4</x:v>
      </x:c>
      <x:c r="Q91" s="14" t="n">
        <x:f>IF(A91=1,0,INDEX($I$2:$I$101,MATCH(N91,$A$2:$A$101,0))*(POWER(INDEX('参数'!$G$4:$G$8,MATCH(INDEX($C$2:$C$101,MATCH(N91,$A$2:$A$101,0)),'参数'!$D$4:$D$8,0)),P91)-1)/(INDEX('参数'!$G$4:$G$8,MATCH(INDEX($C$2:$C$101,MATCH(N91,$A$2:$A$101,0)),'参数'!$D$4:$D$8,0))-1))</x:f>
        <x:v>3.7262043649252944e+34</x:v>
      </x:c>
      <x:c r="R91" s="14" t="n">
        <x:f>IF(A91=1,0,G90*'参数'!$B$4)</x:f>
        <x:v>1.0093803616605402e+30</x:v>
      </x:c>
      <x:c r="S91" s="18" t="n">
        <x:f>IF(A91=1,0,Q91/R91/3600)</x:f>
        <x:v>10.254377906976744</x:v>
      </x:c>
      <x:c r="T91" s="18" t="n">
        <x:f>IF(A91=1,0,SUM($S$2:S91)/24)</x:f>
        <x:v>25.118482853640558</x:v>
      </x:c>
      <x:c r="U91" t="str">
        <x:f>IF(A91=1,"初始羊",IF(AND(E91=1,C91&gt;1),"跨层解锁：需要上一层最终羊×2",IF(P91&gt;=32,"阶段门槛：建议配合广告/随机羊","常规解锁")))</x:f>
        <x:v>常规解锁</x:v>
      </x:c>
    </x:row>
    <x:row r="92">
      <x:c r="A92" t="n">
        <x:v>91</x:v>
      </x:c>
      <x:c r="B92" t="str">
        <x:v>咩咩核心羊</x:v>
      </x:c>
      <x:c r="C92" t="n">
        <x:f>ROUNDUP(A92/20,0)</x:f>
        <x:v>5</x:v>
      </x:c>
      <x:c r="D92" t="str">
        <x:f>INDEX('参数'!$E$4:$E$8,MATCH(C92,'参数'!$D$4:$D$8,0))</x:f>
        <x:v>终极咩咩宇宙</x:v>
      </x:c>
      <x:c r="E92" t="n">
        <x:f>MOD(A92-1,20)+1</x:f>
        <x:v>11</x:v>
      </x:c>
      <x:c r="F92" t="n">
        <x:f>IF(A92=1,"-",IF(E92=1,'参数'!$B$10,IF(E92&lt;=5,'参数'!$B$6,IF(E92&lt;=10,'参数'!$B$7,IF(E92&lt;=15,'参数'!$B$8,'参数'!$B$9)))) )</x:f>
        <x:v>2.3</x:v>
      </x:c>
      <x:c r="G92" s="14" t="n">
        <x:f>IF(A92=1,1,IF(E92=1,G91*'参数'!$B$10,G91*F92))</x:f>
        <x:v>6.239232360514214e+31</x:v>
      </x:c>
      <x:c r="H92" s="14" t="n">
        <x:f>INDEX('参数'!$F$4:$F$8,MATCH(C92,'参数'!$D$4:$D$8,0))</x:f>
        <x:v>1200</x:v>
      </x:c>
      <x:c r="I92" s="14" t="n">
        <x:f>G92*H92</x:f>
        <x:v>7.487078832617057e+34</x:v>
      </x:c>
      <x:c r="J92" s="14" t="str">
        <x:f>"第n次 = 基础购买价 × 所属世界增长倍率^(n-1)"</x:f>
        <x:v>第n次 = 基础购买价 × 所属世界增长倍率^(n-1)</x:v>
      </x:c>
      <x:c r="K92" s="14" t="n">
        <x:f>I92*INDEX('参数'!$G$4:$G$8,MATCH(C92,'参数'!$D$4:$D$8,0))^('参数'!$B$5-1)</x:f>
        <x:v>3.582903064154696e+35</x:v>
      </x:c>
      <x:c r="L92" t="str">
        <x:f>INDEX('参数'!$I$4:$I$8,MATCH(C92,'参数'!$H$4:$H$8,0))</x:f>
        <x:v>Lv.4</x:v>
      </x:c>
      <x:c r="M92" t="n">
        <x:f>INDEX('参数'!$J$4:$J$8,MATCH(C92,'参数'!$H$4:$H$8,0))</x:f>
        <x:v>1</x:v>
      </x:c>
      <x:c r="N92" t="n">
        <x:f>IF(A92=1,"-",IF(AND(E92=1,C92&gt;1),MAX((C92-2)*20+1,A92-1-INDEX('参数'!$J$4:$J$8,MATCH(C92-1,'参数'!$H$4:$H$8,0))),MAX((C92-1)*20+1,A92-1-M92)))</x:f>
        <x:v>89</x:v>
      </x:c>
      <x:c r="O92" t="str">
        <x:f>IF(A92=1,"-",INDEX($B$2:$B$101,MATCH(N92,$A$2:$A$101,0)))</x:f>
        <x:v>宇宙奶嘴羊</x:v>
      </x:c>
      <x:c r="P92" s="16" t="n">
        <x:f>IF(A92=1,0,POWER(2,A92-N92))</x:f>
        <x:v>4</x:v>
      </x:c>
      <x:c r="Q92" s="14" t="n">
        <x:f>IF(A92=1,0,INDEX($I$2:$I$101,MATCH(N92,$A$2:$A$101,0))*(POWER(INDEX('参数'!$G$4:$G$8,MATCH(INDEX($C$2:$C$101,MATCH(N92,$A$2:$A$101,0)),'参数'!$D$4:$D$8,0)),P92)-1)/(INDEX('参数'!$G$4:$G$8,MATCH(INDEX($C$2:$C$101,MATCH(N92,$A$2:$A$101,0)),'参数'!$D$4:$D$8,0))-1))</x:f>
        <x:v>8.011339384589383e+34</x:v>
      </x:c>
      <x:c r="R92" s="14" t="n">
        <x:f>IF(A92=1,0,G91*'参数'!$B$4)</x:f>
        <x:v>2.1701677775701616e+30</x:v>
      </x:c>
      <x:c r="S92" s="18" t="n">
        <x:f>IF(A92=1,0,Q92/R92/3600)</x:f>
        <x:v>10.254377906976744</x:v>
      </x:c>
      <x:c r="T92" s="18" t="n">
        <x:f>IF(A92=1,0,SUM($S$2:S92)/24)</x:f>
        <x:v>25.54574859976459</x:v>
      </x:c>
      <x:c r="U92" t="str">
        <x:f>IF(A92=1,"初始羊",IF(AND(E92=1,C92&gt;1),"跨层解锁：需要上一层最终羊×2",IF(P92&gt;=32,"阶段门槛：建议配合广告/随机羊","常规解锁")))</x:f>
        <x:v>常规解锁</x:v>
      </x:c>
    </x:row>
    <x:row r="93">
      <x:c r="A93" t="n">
        <x:v>92</x:v>
      </x:c>
      <x:c r="B93" t="str">
        <x:v>无限羊</x:v>
      </x:c>
      <x:c r="C93" t="n">
        <x:f>ROUNDUP(A93/20,0)</x:f>
        <x:v>5</x:v>
      </x:c>
      <x:c r="D93" t="str">
        <x:f>INDEX('参数'!$E$4:$E$8,MATCH(C93,'参数'!$D$4:$D$8,0))</x:f>
        <x:v>终极咩咩宇宙</x:v>
      </x:c>
      <x:c r="E93" t="n">
        <x:f>MOD(A93-1,20)+1</x:f>
        <x:v>12</x:v>
      </x:c>
      <x:c r="F93" t="n">
        <x:f>IF(A93=1,"-",IF(E93=1,'参数'!$B$10,IF(E93&lt;=5,'参数'!$B$6,IF(E93&lt;=10,'参数'!$B$7,IF(E93&lt;=15,'参数'!$B$8,'参数'!$B$9)))) )</x:f>
        <x:v>2.3</x:v>
      </x:c>
      <x:c r="G93" s="14" t="n">
        <x:f>IF(A93=1,1,IF(E93=1,G92*'参数'!$B$10,G92*F93))</x:f>
        <x:v>1.4350234429182691e+32</x:v>
      </x:c>
      <x:c r="H93" s="14" t="n">
        <x:f>INDEX('参数'!$F$4:$F$8,MATCH(C93,'参数'!$D$4:$D$8,0))</x:f>
        <x:v>1200</x:v>
      </x:c>
      <x:c r="I93" s="14" t="n">
        <x:f>G93*H93</x:f>
        <x:v>1.722028131501923e+35</x:v>
      </x:c>
      <x:c r="J93" s="14" t="str">
        <x:f>"第n次 = 基础购买价 × 所属世界增长倍率^(n-1)"</x:f>
        <x:v>第n次 = 基础购买价 × 所属世界增长倍率^(n-1)</x:v>
      </x:c>
      <x:c r="K93" s="14" t="n">
        <x:f>I93*INDEX('参数'!$G$4:$G$8,MATCH(C93,'参数'!$D$4:$D$8,0))^('参数'!$B$5-1)</x:f>
        <x:v>8.2406770475558e+35</x:v>
      </x:c>
      <x:c r="L93" t="str">
        <x:f>INDEX('参数'!$I$4:$I$8,MATCH(C93,'参数'!$H$4:$H$8,0))</x:f>
        <x:v>Lv.4</x:v>
      </x:c>
      <x:c r="M93" t="n">
        <x:f>INDEX('参数'!$J$4:$J$8,MATCH(C93,'参数'!$H$4:$H$8,0))</x:f>
        <x:v>1</x:v>
      </x:c>
      <x:c r="N93" t="n">
        <x:f>IF(A93=1,"-",IF(AND(E93=1,C93&gt;1),MAX((C93-2)*20+1,A93-1-INDEX('参数'!$J$4:$J$8,MATCH(C93-1,'参数'!$H$4:$H$8,0))),MAX((C93-1)*20+1,A93-1-M93)))</x:f>
        <x:v>90</x:v>
      </x:c>
      <x:c r="O93" t="str">
        <x:f>IF(A93=1,"-",INDEX($B$2:$B$101,MATCH(N93,$A$2:$A$101,0)))</x:f>
        <x:v>羊羊管理员</x:v>
      </x:c>
      <x:c r="P93" s="16" t="n">
        <x:f>IF(A93=1,0,POWER(2,A93-N93))</x:f>
        <x:v>4</x:v>
      </x:c>
      <x:c r="Q93" s="14" t="n">
        <x:f>IF(A93=1,0,INDEX($I$2:$I$101,MATCH(N93,$A$2:$A$101,0))*(POWER(INDEX('参数'!$G$4:$G$8,MATCH(INDEX($C$2:$C$101,MATCH(N93,$A$2:$A$101,0)),'参数'!$D$4:$D$8,0)),P93)-1)/(INDEX('参数'!$G$4:$G$8,MATCH(INDEX($C$2:$C$101,MATCH(N93,$A$2:$A$101,0)),'参数'!$D$4:$D$8,0))-1))</x:f>
        <x:v>1.7224379676867177e+35</x:v>
      </x:c>
      <x:c r="R93" s="14" t="n">
        <x:f>IF(A93=1,0,G92*'参数'!$B$4)</x:f>
        <x:v>4.9913858884113714e+30</x:v>
      </x:c>
      <x:c r="S93" s="18" t="n">
        <x:f>IF(A93=1,0,Q93/R93/3600)</x:f>
        <x:v>9.585614130434786</x:v>
      </x:c>
      <x:c r="T93" s="18" t="n">
        <x:f>IF(A93=1,0,SUM($S$2:S93)/24)</x:f>
        <x:v>25.945149188532707</x:v>
      </x:c>
      <x:c r="U93" t="str">
        <x:f>IF(A93=1,"初始羊",IF(AND(E93=1,C93&gt;1),"跨层解锁：需要上一层最终羊×2",IF(P93&gt;=32,"阶段门槛：建议配合广告/随机羊","常规解锁")))</x:f>
        <x:v>常规解锁</x:v>
      </x:c>
    </x:row>
    <x:row r="94">
      <x:c r="A94" t="n">
        <x:v>93</x:v>
      </x:c>
      <x:c r="B94" t="str">
        <x:v>维度羊</x:v>
      </x:c>
      <x:c r="C94" t="n">
        <x:f>ROUNDUP(A94/20,0)</x:f>
        <x:v>5</x:v>
      </x:c>
      <x:c r="D94" t="str">
        <x:f>INDEX('参数'!$E$4:$E$8,MATCH(C94,'参数'!$D$4:$D$8,0))</x:f>
        <x:v>终极咩咩宇宙</x:v>
      </x:c>
      <x:c r="E94" t="n">
        <x:f>MOD(A94-1,20)+1</x:f>
        <x:v>13</x:v>
      </x:c>
      <x:c r="F94" t="n">
        <x:f>IF(A94=1,"-",IF(E94=1,'参数'!$B$10,IF(E94&lt;=5,'参数'!$B$6,IF(E94&lt;=10,'参数'!$B$7,IF(E94&lt;=15,'参数'!$B$8,'参数'!$B$9)))) )</x:f>
        <x:v>2.3</x:v>
      </x:c>
      <x:c r="G94" s="14" t="n">
        <x:f>IF(A94=1,1,IF(E94=1,G93*'参数'!$B$10,G93*F94))</x:f>
        <x:v>3.300553918712019e+32</x:v>
      </x:c>
      <x:c r="H94" s="14" t="n">
        <x:f>INDEX('参数'!$F$4:$F$8,MATCH(C94,'参数'!$D$4:$D$8,0))</x:f>
        <x:v>1200</x:v>
      </x:c>
      <x:c r="I94" s="14" t="n">
        <x:f>G94*H94</x:f>
        <x:v>3.960664702454422e+35</x:v>
      </x:c>
      <x:c r="J94" s="14" t="str">
        <x:f>"第n次 = 基础购买价 × 所属世界增长倍率^(n-1)"</x:f>
        <x:v>第n次 = 基础购买价 × 所属世界增长倍率^(n-1)</x:v>
      </x:c>
      <x:c r="K94" s="14" t="n">
        <x:f>I94*INDEX('参数'!$G$4:$G$8,MATCH(C94,'参数'!$D$4:$D$8,0))^('参数'!$B$5-1)</x:f>
        <x:v>1.8953557209378337e+36</x:v>
      </x:c>
      <x:c r="L94" t="str">
        <x:f>INDEX('参数'!$I$4:$I$8,MATCH(C94,'参数'!$H$4:$H$8,0))</x:f>
        <x:v>Lv.4</x:v>
      </x:c>
      <x:c r="M94" t="n">
        <x:f>INDEX('参数'!$J$4:$J$8,MATCH(C94,'参数'!$H$4:$H$8,0))</x:f>
        <x:v>1</x:v>
      </x:c>
      <x:c r="N94" t="n">
        <x:f>IF(A94=1,"-",IF(AND(E94=1,C94&gt;1),MAX((C94-2)*20+1,A94-1-INDEX('参数'!$J$4:$J$8,MATCH(C94-1,'参数'!$H$4:$H$8,0))),MAX((C94-1)*20+1,A94-1-M94)))</x:f>
        <x:v>91</x:v>
      </x:c>
      <x:c r="O94" t="str">
        <x:f>IF(A94=1,"-",INDEX($B$2:$B$101,MATCH(N94,$A$2:$A$101,0)))</x:f>
        <x:v>咩咩核心羊</x:v>
      </x:c>
      <x:c r="P94" s="16" t="n">
        <x:f>IF(A94=1,0,POWER(2,A94-N94))</x:f>
        <x:v>4</x:v>
      </x:c>
      <x:c r="Q94" s="14" t="n">
        <x:f>IF(A94=1,0,INDEX($I$2:$I$101,MATCH(N94,$A$2:$A$101,0))*(POWER(INDEX('参数'!$G$4:$G$8,MATCH(INDEX($C$2:$C$101,MATCH(N94,$A$2:$A$101,0)),'参数'!$D$4:$D$8,0)),P94)-1)/(INDEX('参数'!$G$4:$G$8,MATCH(INDEX($C$2:$C$101,MATCH(N94,$A$2:$A$101,0)),'参数'!$D$4:$D$8,0))-1))</x:f>
        <x:v>3.96160732567945e+35</x:v>
      </x:c>
      <x:c r="R94" s="14" t="n">
        <x:f>IF(A94=1,0,G93*'参数'!$B$4)</x:f>
        <x:v>1.1480187543346154e+31</x:v>
      </x:c>
      <x:c r="S94" s="18" t="n">
        <x:f>IF(A94=1,0,Q94/R94/3600)</x:f>
        <x:v>9.585614130434783</x:v>
      </x:c>
      <x:c r="T94" s="18" t="n">
        <x:f>IF(A94=1,0,SUM($S$2:S94)/24)</x:f>
        <x:v>26.344549777300823</x:v>
      </x:c>
      <x:c r="U94" t="str">
        <x:f>IF(A94=1,"初始羊",IF(AND(E94=1,C94&gt;1),"跨层解锁：需要上一层最终羊×2",IF(P94&gt;=32,"阶段门槛：建议配合广告/随机羊","常规解锁")))</x:f>
        <x:v>常规解锁</x:v>
      </x:c>
    </x:row>
    <x:row r="95">
      <x:c r="A95" t="n">
        <x:v>94</x:v>
      </x:c>
      <x:c r="B95" t="str">
        <x:v>宇宙CEO羊</x:v>
      </x:c>
      <x:c r="C95" t="n">
        <x:f>ROUNDUP(A95/20,0)</x:f>
        <x:v>5</x:v>
      </x:c>
      <x:c r="D95" t="str">
        <x:f>INDEX('参数'!$E$4:$E$8,MATCH(C95,'参数'!$D$4:$D$8,0))</x:f>
        <x:v>终极咩咩宇宙</x:v>
      </x:c>
      <x:c r="E95" t="n">
        <x:f>MOD(A95-1,20)+1</x:f>
        <x:v>14</x:v>
      </x:c>
      <x:c r="F95" t="n">
        <x:f>IF(A95=1,"-",IF(E95=1,'参数'!$B$10,IF(E95&lt;=5,'参数'!$B$6,IF(E95&lt;=10,'参数'!$B$7,IF(E95&lt;=15,'参数'!$B$8,'参数'!$B$9)))) )</x:f>
        <x:v>2.3</x:v>
      </x:c>
      <x:c r="G95" s="14" t="n">
        <x:f>IF(A95=1,1,IF(E95=1,G94*'参数'!$B$10,G94*F95))</x:f>
        <x:v>7.591274013037643e+32</x:v>
      </x:c>
      <x:c r="H95" s="14" t="n">
        <x:f>INDEX('参数'!$F$4:$F$8,MATCH(C95,'参数'!$D$4:$D$8,0))</x:f>
        <x:v>1200</x:v>
      </x:c>
      <x:c r="I95" s="14" t="n">
        <x:f>G95*H95</x:f>
        <x:v>9.109528815645171e+35</x:v>
      </x:c>
      <x:c r="J95" s="14" t="str">
        <x:f>"第n次 = 基础购买价 × 所属世界增长倍率^(n-1)"</x:f>
        <x:v>第n次 = 基础购买价 × 所属世界增长倍率^(n-1)</x:v>
      </x:c>
      <x:c r="K95" s="14" t="n">
        <x:f>I95*INDEX('参数'!$G$4:$G$8,MATCH(C95,'参数'!$D$4:$D$8,0))^('参数'!$B$5-1)</x:f>
        <x:v>4.359318158157017e+36</x:v>
      </x:c>
      <x:c r="L95" t="str">
        <x:f>INDEX('参数'!$I$4:$I$8,MATCH(C95,'参数'!$H$4:$H$8,0))</x:f>
        <x:v>Lv.4</x:v>
      </x:c>
      <x:c r="M95" t="n">
        <x:f>INDEX('参数'!$J$4:$J$8,MATCH(C95,'参数'!$H$4:$H$8,0))</x:f>
        <x:v>1</x:v>
      </x:c>
      <x:c r="N95" t="n">
        <x:f>IF(A95=1,"-",IF(AND(E95=1,C95&gt;1),MAX((C95-2)*20+1,A95-1-INDEX('参数'!$J$4:$J$8,MATCH(C95-1,'参数'!$H$4:$H$8,0))),MAX((C95-1)*20+1,A95-1-M95)))</x:f>
        <x:v>92</x:v>
      </x:c>
      <x:c r="O95" t="str">
        <x:f>IF(A95=1,"-",INDEX($B$2:$B$101,MATCH(N95,$A$2:$A$101,0)))</x:f>
        <x:v>无限羊</x:v>
      </x:c>
      <x:c r="P95" s="16" t="n">
        <x:f>IF(A95=1,0,POWER(2,A95-N95))</x:f>
        <x:v>4</x:v>
      </x:c>
      <x:c r="Q95" s="14" t="n">
        <x:f>IF(A95=1,0,INDEX($I$2:$I$101,MATCH(N95,$A$2:$A$101,0))*(POWER(INDEX('参数'!$G$4:$G$8,MATCH(INDEX($C$2:$C$101,MATCH(N95,$A$2:$A$101,0)),'参数'!$D$4:$D$8,0)),P95)-1)/(INDEX('参数'!$G$4:$G$8,MATCH(INDEX($C$2:$C$101,MATCH(N95,$A$2:$A$101,0)),'参数'!$D$4:$D$8,0))-1))</x:f>
        <x:v>9.111696849062735e+35</x:v>
      </x:c>
      <x:c r="R95" s="14" t="n">
        <x:f>IF(A95=1,0,G94*'参数'!$B$4)</x:f>
        <x:v>2.640443134969615e+31</x:v>
      </x:c>
      <x:c r="S95" s="18" t="n">
        <x:f>IF(A95=1,0,Q95/R95/3600)</x:f>
        <x:v>9.585614130434786</x:v>
      </x:c>
      <x:c r="T95" s="18" t="n">
        <x:f>IF(A95=1,0,SUM($S$2:S95)/24)</x:f>
        <x:v>26.74395036606894</x:v>
      </x:c>
      <x:c r="U95" t="str">
        <x:f>IF(A95=1,"初始羊",IF(AND(E95=1,C95&gt;1),"跨层解锁：需要上一层最终羊×2",IF(P95&gt;=32,"阶段门槛：建议配合广告/随机羊","常规解锁")))</x:f>
        <x:v>常规解锁</x:v>
      </x:c>
    </x:row>
    <x:row r="96">
      <x:c r="A96" t="n">
        <x:v>95</x:v>
      </x:c>
      <x:c r="B96" t="str">
        <x:v>乱码创世羊</x:v>
      </x:c>
      <x:c r="C96" t="n">
        <x:f>ROUNDUP(A96/20,0)</x:f>
        <x:v>5</x:v>
      </x:c>
      <x:c r="D96" t="str">
        <x:f>INDEX('参数'!$E$4:$E$8,MATCH(C96,'参数'!$D$4:$D$8,0))</x:f>
        <x:v>终极咩咩宇宙</x:v>
      </x:c>
      <x:c r="E96" t="n">
        <x:f>MOD(A96-1,20)+1</x:f>
        <x:v>15</x:v>
      </x:c>
      <x:c r="F96" t="n">
        <x:f>IF(A96=1,"-",IF(E96=1,'参数'!$B$10,IF(E96&lt;=5,'参数'!$B$6,IF(E96&lt;=10,'参数'!$B$7,IF(E96&lt;=15,'参数'!$B$8,'参数'!$B$9)))) )</x:f>
        <x:v>2.3</x:v>
      </x:c>
      <x:c r="G96" s="14" t="n">
        <x:f>IF(A96=1,1,IF(E96=1,G95*'参数'!$B$10,G95*F96))</x:f>
        <x:v>1.7459930229986575e+33</x:v>
      </x:c>
      <x:c r="H96" s="14" t="n">
        <x:f>INDEX('参数'!$F$4:$F$8,MATCH(C96,'参数'!$D$4:$D$8,0))</x:f>
        <x:v>1200</x:v>
      </x:c>
      <x:c r="I96" s="14" t="n">
        <x:f>G96*H96</x:f>
        <x:v>2.095191627598389e+36</x:v>
      </x:c>
      <x:c r="J96" s="14" t="str">
        <x:f>"第n次 = 基础购买价 × 所属世界增长倍率^(n-1)"</x:f>
        <x:v>第n次 = 基础购买价 × 所属世界增长倍率^(n-1)</x:v>
      </x:c>
      <x:c r="K96" s="14" t="n">
        <x:f>I96*INDEX('参数'!$G$4:$G$8,MATCH(C96,'参数'!$D$4:$D$8,0))^('参数'!$B$5-1)</x:f>
        <x:v>1.0026431763761139e+37</x:v>
      </x:c>
      <x:c r="L96" t="str">
        <x:f>INDEX('参数'!$I$4:$I$8,MATCH(C96,'参数'!$H$4:$H$8,0))</x:f>
        <x:v>Lv.4</x:v>
      </x:c>
      <x:c r="M96" t="n">
        <x:f>INDEX('参数'!$J$4:$J$8,MATCH(C96,'参数'!$H$4:$H$8,0))</x:f>
        <x:v>1</x:v>
      </x:c>
      <x:c r="N96" t="n">
        <x:f>IF(A96=1,"-",IF(AND(E96=1,C96&gt;1),MAX((C96-2)*20+1,A96-1-INDEX('参数'!$J$4:$J$8,MATCH(C96-1,'参数'!$H$4:$H$8,0))),MAX((C96-1)*20+1,A96-1-M96)))</x:f>
        <x:v>93</x:v>
      </x:c>
      <x:c r="O96" t="str">
        <x:f>IF(A96=1,"-",INDEX($B$2:$B$101,MATCH(N96,$A$2:$A$101,0)))</x:f>
        <x:v>维度羊</x:v>
      </x:c>
      <x:c r="P96" s="16" t="n">
        <x:f>IF(A96=1,0,POWER(2,A96-N96))</x:f>
        <x:v>4</x:v>
      </x:c>
      <x:c r="Q96" s="14" t="n">
        <x:f>IF(A96=1,0,INDEX($I$2:$I$101,MATCH(N96,$A$2:$A$101,0))*(POWER(INDEX('参数'!$G$4:$G$8,MATCH(INDEX($C$2:$C$101,MATCH(N96,$A$2:$A$101,0)),'参数'!$D$4:$D$8,0)),P96)-1)/(INDEX('参数'!$G$4:$G$8,MATCH(INDEX($C$2:$C$101,MATCH(N96,$A$2:$A$101,0)),'参数'!$D$4:$D$8,0))-1))</x:f>
        <x:v>2.0956902752844285e+36</x:v>
      </x:c>
      <x:c r="R96" s="14" t="n">
        <x:f>IF(A96=1,0,G95*'参数'!$B$4)</x:f>
        <x:v>6.073019210430114e+31</x:v>
      </x:c>
      <x:c r="S96" s="18" t="n">
        <x:f>IF(A96=1,0,Q96/R96/3600)</x:f>
        <x:v>9.585614130434783</x:v>
      </x:c>
      <x:c r="T96" s="18" t="n">
        <x:f>IF(A96=1,0,SUM($S$2:S96)/24)</x:f>
        <x:v>27.143350954837057</x:v>
      </x:c>
      <x:c r="U96" t="str">
        <x:f>IF(A96=1,"初始羊",IF(AND(E96=1,C96&gt;1),"跨层解锁：需要上一层最终羊×2",IF(P96&gt;=32,"阶段门槛：建议配合广告/随机羊","常规解锁")))</x:f>
        <x:v>常规解锁</x:v>
      </x:c>
    </x:row>
    <x:row r="97">
      <x:c r="A97" t="n">
        <x:v>96</x:v>
      </x:c>
      <x:c r="B97" t="str">
        <x:v>羊羊观察者</x:v>
      </x:c>
      <x:c r="C97" t="n">
        <x:f>ROUNDUP(A97/20,0)</x:f>
        <x:v>5</x:v>
      </x:c>
      <x:c r="D97" t="str">
        <x:f>INDEX('参数'!$E$4:$E$8,MATCH(C97,'参数'!$D$4:$D$8,0))</x:f>
        <x:v>终极咩咩宇宙</x:v>
      </x:c>
      <x:c r="E97" t="n">
        <x:f>MOD(A97-1,20)+1</x:f>
        <x:v>16</x:v>
      </x:c>
      <x:c r="F97" t="n">
        <x:f>IF(A97=1,"-",IF(E97=1,'参数'!$B$10,IF(E97&lt;=5,'参数'!$B$6,IF(E97&lt;=10,'参数'!$B$7,IF(E97&lt;=15,'参数'!$B$8,'参数'!$B$9)))) )</x:f>
        <x:v>2.5</x:v>
      </x:c>
      <x:c r="G97" s="14" t="n">
        <x:f>IF(A97=1,1,IF(E97=1,G96*'参数'!$B$10,G96*F97))</x:f>
        <x:v>4.3649825574966437e+33</x:v>
      </x:c>
      <x:c r="H97" s="14" t="n">
        <x:f>INDEX('参数'!$F$4:$F$8,MATCH(C97,'参数'!$D$4:$D$8,0))</x:f>
        <x:v>1200</x:v>
      </x:c>
      <x:c r="I97" s="14" t="n">
        <x:f>G97*H97</x:f>
        <x:v>5.237979068995972e+36</x:v>
      </x:c>
      <x:c r="J97" s="14" t="str">
        <x:f>"第n次 = 基础购买价 × 所属世界增长倍率^(n-1)"</x:f>
        <x:v>第n次 = 基础购买价 × 所属世界增长倍率^(n-1)</x:v>
      </x:c>
      <x:c r="K97" s="14" t="n">
        <x:f>I97*INDEX('参数'!$G$4:$G$8,MATCH(C97,'参数'!$D$4:$D$8,0))^('参数'!$B$5-1)</x:f>
        <x:v>2.5066079409402845e+37</x:v>
      </x:c>
      <x:c r="L97" t="str">
        <x:f>INDEX('参数'!$I$4:$I$8,MATCH(C97,'参数'!$H$4:$H$8,0))</x:f>
        <x:v>Lv.4</x:v>
      </x:c>
      <x:c r="M97" t="n">
        <x:f>INDEX('参数'!$J$4:$J$8,MATCH(C97,'参数'!$H$4:$H$8,0))</x:f>
        <x:v>1</x:v>
      </x:c>
      <x:c r="N97" t="n">
        <x:f>IF(A97=1,"-",IF(AND(E97=1,C97&gt;1),MAX((C97-2)*20+1,A97-1-INDEX('参数'!$J$4:$J$8,MATCH(C97-1,'参数'!$H$4:$H$8,0))),MAX((C97-1)*20+1,A97-1-M97)))</x:f>
        <x:v>94</x:v>
      </x:c>
      <x:c r="O97" t="str">
        <x:f>IF(A97=1,"-",INDEX($B$2:$B$101,MATCH(N97,$A$2:$A$101,0)))</x:f>
        <x:v>宇宙CEO羊</x:v>
      </x:c>
      <x:c r="P97" s="16" t="n">
        <x:f>IF(A97=1,0,POWER(2,A97-N97))</x:f>
        <x:v>4</x:v>
      </x:c>
      <x:c r="Q97" s="14" t="n">
        <x:f>IF(A97=1,0,INDEX($I$2:$I$101,MATCH(N97,$A$2:$A$101,0))*(POWER(INDEX('参数'!$G$4:$G$8,MATCH(INDEX($C$2:$C$101,MATCH(N97,$A$2:$A$101,0)),'参数'!$D$4:$D$8,0)),P97)-1)/(INDEX('参数'!$G$4:$G$8,MATCH(INDEX($C$2:$C$101,MATCH(N97,$A$2:$A$101,0)),'参数'!$D$4:$D$8,0))-1))</x:f>
        <x:v>4.8200876331541854e+36</x:v>
      </x:c>
      <x:c r="R97" s="14" t="n">
        <x:f>IF(A97=1,0,G96*'参数'!$B$4)</x:f>
        <x:v>1.396794418398926e+32</x:v>
      </x:c>
      <x:c r="S97" s="18" t="n">
        <x:f>IF(A97=1,0,Q97/R97/3600)</x:f>
        <x:v>9.585614130434786</x:v>
      </x:c>
      <x:c r="T97" s="18" t="n">
        <x:f>IF(A97=1,0,SUM($S$2:S97)/24)</x:f>
        <x:v>27.542751543605174</x:v>
      </x:c>
      <x:c r="U97" t="str">
        <x:f>IF(A97=1,"初始羊",IF(AND(E97=1,C97&gt;1),"跨层解锁：需要上一层最终羊×2",IF(P97&gt;=32,"阶段门槛：建议配合广告/随机羊","常规解锁")))</x:f>
        <x:v>常规解锁</x:v>
      </x:c>
    </x:row>
    <x:row r="98">
      <x:c r="A98" t="n">
        <x:v>97</x:v>
      </x:c>
      <x:c r="B98" t="str">
        <x:v>终极摆烂羊</x:v>
      </x:c>
      <x:c r="C98" t="n">
        <x:f>ROUNDUP(A98/20,0)</x:f>
        <x:v>5</x:v>
      </x:c>
      <x:c r="D98" t="str">
        <x:f>INDEX('参数'!$E$4:$E$8,MATCH(C98,'参数'!$D$4:$D$8,0))</x:f>
        <x:v>终极咩咩宇宙</x:v>
      </x:c>
      <x:c r="E98" t="n">
        <x:f>MOD(A98-1,20)+1</x:f>
        <x:v>17</x:v>
      </x:c>
      <x:c r="F98" t="n">
        <x:f>IF(A98=1,"-",IF(E98=1,'参数'!$B$10,IF(E98&lt;=5,'参数'!$B$6,IF(E98&lt;=10,'参数'!$B$7,IF(E98&lt;=15,'参数'!$B$8,'参数'!$B$9)))) )</x:f>
        <x:v>2.5</x:v>
      </x:c>
      <x:c r="G98" s="14" t="n">
        <x:f>IF(A98=1,1,IF(E98=1,G97*'参数'!$B$10,G97*F98))</x:f>
        <x:v>1.0912456393741608e+34</x:v>
      </x:c>
      <x:c r="H98" s="14" t="n">
        <x:f>INDEX('参数'!$F$4:$F$8,MATCH(C98,'参数'!$D$4:$D$8,0))</x:f>
        <x:v>1200</x:v>
      </x:c>
      <x:c r="I98" s="14" t="n">
        <x:f>G98*H98</x:f>
        <x:v>1.309494767248993e+37</x:v>
      </x:c>
      <x:c r="J98" s="14" t="str">
        <x:f>"第n次 = 基础购买价 × 所属世界增长倍率^(n-1)"</x:f>
        <x:v>第n次 = 基础购买价 × 所属世界增长倍率^(n-1)</x:v>
      </x:c>
      <x:c r="K98" s="14" t="n">
        <x:f>I98*INDEX('参数'!$G$4:$G$8,MATCH(C98,'参数'!$D$4:$D$8,0))^('参数'!$B$5-1)</x:f>
        <x:v>6.266519852350711e+37</x:v>
      </x:c>
      <x:c r="L98" t="str">
        <x:f>INDEX('参数'!$I$4:$I$8,MATCH(C98,'参数'!$H$4:$H$8,0))</x:f>
        <x:v>Lv.4</x:v>
      </x:c>
      <x:c r="M98" t="n">
        <x:f>INDEX('参数'!$J$4:$J$8,MATCH(C98,'参数'!$H$4:$H$8,0))</x:f>
        <x:v>1</x:v>
      </x:c>
      <x:c r="N98" t="n">
        <x:f>IF(A98=1,"-",IF(AND(E98=1,C98&gt;1),MAX((C98-2)*20+1,A98-1-INDEX('参数'!$J$4:$J$8,MATCH(C98-1,'参数'!$H$4:$H$8,0))),MAX((C98-1)*20+1,A98-1-M98)))</x:f>
        <x:v>95</x:v>
      </x:c>
      <x:c r="O98" t="str">
        <x:f>IF(A98=1,"-",INDEX($B$2:$B$101,MATCH(N98,$A$2:$A$101,0)))</x:f>
        <x:v>乱码创世羊</x:v>
      </x:c>
      <x:c r="P98" s="16" t="n">
        <x:f>IF(A98=1,0,POWER(2,A98-N98))</x:f>
        <x:v>4</x:v>
      </x:c>
      <x:c r="Q98" s="14" t="n">
        <x:f>IF(A98=1,0,INDEX($I$2:$I$101,MATCH(N98,$A$2:$A$101,0))*(POWER(INDEX('参数'!$G$4:$G$8,MATCH(INDEX($C$2:$C$101,MATCH(N98,$A$2:$A$101,0)),'参数'!$D$4:$D$8,0)),P98)-1)/(INDEX('参数'!$G$4:$G$8,MATCH(INDEX($C$2:$C$101,MATCH(N98,$A$2:$A$101,0)),'参数'!$D$4:$D$8,0))-1))</x:f>
        <x:v>1.1086201556254627e+37</x:v>
      </x:c>
      <x:c r="R98" s="14" t="n">
        <x:f>IF(A98=1,0,G97*'参数'!$B$4)</x:f>
        <x:v>3.491986045997315e+32</x:v>
      </x:c>
      <x:c r="S98" s="18" t="n">
        <x:f>IF(A98=1,0,Q98/R98/3600)</x:f>
        <x:v>8.818765000000003</x:v>
      </x:c>
      <x:c r="T98" s="18" t="n">
        <x:f>IF(A98=1,0,SUM($S$2:S98)/24)</x:f>
        <x:v>27.91020008527184</x:v>
      </x:c>
      <x:c r="U98" t="str">
        <x:f>IF(A98=1,"初始羊",IF(AND(E98=1,C98&gt;1),"跨层解锁：需要上一层最终羊×2",IF(P98&gt;=32,"阶段门槛：建议配合广告/随机羊","常规解锁")))</x:f>
        <x:v>常规解锁</x:v>
      </x:c>
    </x:row>
    <x:row r="99">
      <x:c r="A99" t="n">
        <x:v>98</x:v>
      </x:c>
      <x:c r="B99" t="str">
        <x:v>彩虹咩羊</x:v>
      </x:c>
      <x:c r="C99" t="n">
        <x:f>ROUNDUP(A99/20,0)</x:f>
        <x:v>5</x:v>
      </x:c>
      <x:c r="D99" t="str">
        <x:f>INDEX('参数'!$E$4:$E$8,MATCH(C99,'参数'!$D$4:$D$8,0))</x:f>
        <x:v>终极咩咩宇宙</x:v>
      </x:c>
      <x:c r="E99" t="n">
        <x:f>MOD(A99-1,20)+1</x:f>
        <x:v>18</x:v>
      </x:c>
      <x:c r="F99" t="n">
        <x:f>IF(A99=1,"-",IF(E99=1,'参数'!$B$10,IF(E99&lt;=5,'参数'!$B$6,IF(E99&lt;=10,'参数'!$B$7,IF(E99&lt;=15,'参数'!$B$8,'参数'!$B$9)))) )</x:f>
        <x:v>2.5</x:v>
      </x:c>
      <x:c r="G99" s="14" t="n">
        <x:f>IF(A99=1,1,IF(E99=1,G98*'参数'!$B$10,G98*F99))</x:f>
        <x:v>2.728114098435402e+34</x:v>
      </x:c>
      <x:c r="H99" s="14" t="n">
        <x:f>INDEX('参数'!$F$4:$F$8,MATCH(C99,'参数'!$D$4:$D$8,0))</x:f>
        <x:v>1200</x:v>
      </x:c>
      <x:c r="I99" s="14" t="n">
        <x:f>G99*H99</x:f>
        <x:v>3.2737369181224824e+37</x:v>
      </x:c>
      <x:c r="J99" s="14" t="str">
        <x:f>"第n次 = 基础购买价 × 所属世界增长倍率^(n-1)"</x:f>
        <x:v>第n次 = 基础购买价 × 所属世界增长倍率^(n-1)</x:v>
      </x:c>
      <x:c r="K99" s="14" t="n">
        <x:f>I99*INDEX('参数'!$G$4:$G$8,MATCH(C99,'参数'!$D$4:$D$8,0))^('参数'!$B$5-1)</x:f>
        <x:v>1.5666299630876777e+38</x:v>
      </x:c>
      <x:c r="L99" t="str">
        <x:f>INDEX('参数'!$I$4:$I$8,MATCH(C99,'参数'!$H$4:$H$8,0))</x:f>
        <x:v>Lv.4</x:v>
      </x:c>
      <x:c r="M99" t="n">
        <x:f>INDEX('参数'!$J$4:$J$8,MATCH(C99,'参数'!$H$4:$H$8,0))</x:f>
        <x:v>1</x:v>
      </x:c>
      <x:c r="N99" t="n">
        <x:f>IF(A99=1,"-",IF(AND(E99=1,C99&gt;1),MAX((C99-2)*20+1,A99-1-INDEX('参数'!$J$4:$J$8,MATCH(C99-1,'参数'!$H$4:$H$8,0))),MAX((C99-1)*20+1,A99-1-M99)))</x:f>
        <x:v>96</x:v>
      </x:c>
      <x:c r="O99" t="str">
        <x:f>IF(A99=1,"-",INDEX($B$2:$B$101,MATCH(N99,$A$2:$A$101,0)))</x:f>
        <x:v>羊羊观察者</x:v>
      </x:c>
      <x:c r="P99" s="16" t="n">
        <x:f>IF(A99=1,0,POWER(2,A99-N99))</x:f>
        <x:v>4</x:v>
      </x:c>
      <x:c r="Q99" s="14" t="n">
        <x:f>IF(A99=1,0,INDEX($I$2:$I$101,MATCH(N99,$A$2:$A$101,0))*(POWER(INDEX('参数'!$G$4:$G$8,MATCH(INDEX($C$2:$C$101,MATCH(N99,$A$2:$A$101,0)),'参数'!$D$4:$D$8,0)),P99)-1)/(INDEX('参数'!$G$4:$G$8,MATCH(INDEX($C$2:$C$101,MATCH(N99,$A$2:$A$101,0)),'参数'!$D$4:$D$8,0))-1))</x:f>
        <x:v>2.7715503890636563e+37</x:v>
      </x:c>
      <x:c r="R99" s="14" t="n">
        <x:f>IF(A99=1,0,G98*'参数'!$B$4)</x:f>
        <x:v>8.729965114993286e+32</x:v>
      </x:c>
      <x:c r="S99" s="18" t="n">
        <x:f>IF(A99=1,0,Q99/R99/3600)</x:f>
        <x:v>8.818765000000003</x:v>
      </x:c>
      <x:c r="T99" s="18" t="n">
        <x:f>IF(A99=1,0,SUM($S$2:S99)/24)</x:f>
        <x:v>28.277648626938504</x:v>
      </x:c>
      <x:c r="U99" t="str">
        <x:f>IF(A99=1,"初始羊",IF(AND(E99=1,C99&gt;1),"跨层解锁：需要上一层最终羊×2",IF(P99&gt;=32,"阶段门槛：建议配合广告/随机羊","常规解锁")))</x:f>
        <x:v>常规解锁</x:v>
      </x:c>
    </x:row>
    <x:row r="100">
      <x:c r="A100" t="n">
        <x:v>99</x:v>
      </x:c>
      <x:c r="B100" t="str">
        <x:v>宇宙最终羊</x:v>
      </x:c>
      <x:c r="C100" t="n">
        <x:f>ROUNDUP(A100/20,0)</x:f>
        <x:v>5</x:v>
      </x:c>
      <x:c r="D100" t="str">
        <x:f>INDEX('参数'!$E$4:$E$8,MATCH(C100,'参数'!$D$4:$D$8,0))</x:f>
        <x:v>终极咩咩宇宙</x:v>
      </x:c>
      <x:c r="E100" t="n">
        <x:f>MOD(A100-1,20)+1</x:f>
        <x:v>19</x:v>
      </x:c>
      <x:c r="F100" t="n">
        <x:f>IF(A100=1,"-",IF(E100=1,'参数'!$B$10,IF(E100&lt;=5,'参数'!$B$6,IF(E100&lt;=10,'参数'!$B$7,IF(E100&lt;=15,'参数'!$B$8,'参数'!$B$9)))) )</x:f>
        <x:v>2.5</x:v>
      </x:c>
      <x:c r="G100" s="14" t="n">
        <x:f>IF(A100=1,1,IF(E100=1,G99*'参数'!$B$10,G99*F100))</x:f>
        <x:v>6.820285246088505e+34</x:v>
      </x:c>
      <x:c r="H100" s="14" t="n">
        <x:f>INDEX('参数'!$F$4:$F$8,MATCH(C100,'参数'!$D$4:$D$8,0))</x:f>
        <x:v>1200</x:v>
      </x:c>
      <x:c r="I100" s="14" t="n">
        <x:f>G100*H100</x:f>
        <x:v>8.184342295306206e+37</x:v>
      </x:c>
      <x:c r="J100" s="14" t="str">
        <x:f>"第n次 = 基础购买价 × 所属世界增长倍率^(n-1)"</x:f>
        <x:v>第n次 = 基础购买价 × 所属世界增长倍率^(n-1)</x:v>
      </x:c>
      <x:c r="K100" s="14" t="n">
        <x:f>I100*INDEX('参数'!$G$4:$G$8,MATCH(C100,'参数'!$D$4:$D$8,0))^('参数'!$B$5-1)</x:f>
        <x:v>3.916574907719194e+38</x:v>
      </x:c>
      <x:c r="L100" t="str">
        <x:f>INDEX('参数'!$I$4:$I$8,MATCH(C100,'参数'!$H$4:$H$8,0))</x:f>
        <x:v>Lv.4</x:v>
      </x:c>
      <x:c r="M100" t="n">
        <x:f>INDEX('参数'!$J$4:$J$8,MATCH(C100,'参数'!$H$4:$H$8,0))</x:f>
        <x:v>1</x:v>
      </x:c>
      <x:c r="N100" t="n">
        <x:f>IF(A100=1,"-",IF(AND(E100=1,C100&gt;1),MAX((C100-2)*20+1,A100-1-INDEX('参数'!$J$4:$J$8,MATCH(C100-1,'参数'!$H$4:$H$8,0))),MAX((C100-1)*20+1,A100-1-M100)))</x:f>
        <x:v>97</x:v>
      </x:c>
      <x:c r="O100" t="str">
        <x:f>IF(A100=1,"-",INDEX($B$2:$B$101,MATCH(N100,$A$2:$A$101,0)))</x:f>
        <x:v>终极摆烂羊</x:v>
      </x:c>
      <x:c r="P100" s="16" t="n">
        <x:f>IF(A100=1,0,POWER(2,A100-N100))</x:f>
        <x:v>4</x:v>
      </x:c>
      <x:c r="Q100" s="14" t="n">
        <x:f>IF(A100=1,0,INDEX($I$2:$I$101,MATCH(N100,$A$2:$A$101,0))*(POWER(INDEX('参数'!$G$4:$G$8,MATCH(INDEX($C$2:$C$101,MATCH(N100,$A$2:$A$101,0)),'参数'!$D$4:$D$8,0)),P100)-1)/(INDEX('参数'!$G$4:$G$8,MATCH(INDEX($C$2:$C$101,MATCH(N100,$A$2:$A$101,0)),'参数'!$D$4:$D$8,0))-1))</x:f>
        <x:v>6.92887597265914e+37</x:v>
      </x:c>
      <x:c r="R100" s="14" t="n">
        <x:f>IF(A100=1,0,G99*'参数'!$B$4)</x:f>
        <x:v>2.1824912787483216e+33</x:v>
      </x:c>
      <x:c r="S100" s="18" t="n">
        <x:f>IF(A100=1,0,Q100/R100/3600)</x:f>
        <x:v>8.818765</x:v>
      </x:c>
      <x:c r="T100" s="18" t="n">
        <x:f>IF(A100=1,0,SUM($S$2:S100)/24)</x:f>
        <x:v>28.645097168605172</x:v>
      </x:c>
      <x:c r="U100" t="str">
        <x:f>IF(A100=1,"初始羊",IF(AND(E100=1,C100&gt;1),"跨层解锁：需要上一层最终羊×2",IF(P100&gt;=32,"阶段门槛：建议配合广告/随机羊","常规解锁")))</x:f>
        <x:v>常规解锁</x:v>
      </x:c>
    </x:row>
    <x:row r="101">
      <x:c r="A101" t="n">
        <x:v>100</x:v>
      </x:c>
      <x:c r="B101" t="str">
        <x:v>终极咩神</x:v>
      </x:c>
      <x:c r="C101" t="n">
        <x:f>ROUNDUP(A101/20,0)</x:f>
        <x:v>5</x:v>
      </x:c>
      <x:c r="D101" t="str">
        <x:f>INDEX('参数'!$E$4:$E$8,MATCH(C101,'参数'!$D$4:$D$8,0))</x:f>
        <x:v>终极咩咩宇宙</x:v>
      </x:c>
      <x:c r="E101" t="n">
        <x:f>MOD(A101-1,20)+1</x:f>
        <x:v>20</x:v>
      </x:c>
      <x:c r="F101" t="n">
        <x:f>IF(A101=1,"-",IF(E101=1,'参数'!$B$10,IF(E101&lt;=5,'参数'!$B$6,IF(E101&lt;=10,'参数'!$B$7,IF(E101&lt;=15,'参数'!$B$8,'参数'!$B$9)))) )</x:f>
        <x:v>2.5</x:v>
      </x:c>
      <x:c r="G101" s="14" t="n">
        <x:f>IF(A101=1,1,IF(E101=1,G100*'参数'!$B$10,G100*F101))</x:f>
        <x:v>1.7050713115221263e+35</x:v>
      </x:c>
      <x:c r="H101" s="14" t="n">
        <x:f>INDEX('参数'!$F$4:$F$8,MATCH(C101,'参数'!$D$4:$D$8,0))</x:f>
        <x:v>1200</x:v>
      </x:c>
      <x:c r="I101" s="14" t="n">
        <x:f>G101*H101</x:f>
        <x:v>2.0460855738265515e+38</x:v>
      </x:c>
      <x:c r="J101" s="14" t="str">
        <x:f>"第n次 = 基础购买价 × 所属世界增长倍率^(n-1)"</x:f>
        <x:v>第n次 = 基础购买价 × 所属世界增长倍率^(n-1)</x:v>
      </x:c>
      <x:c r="K101" s="14" t="n">
        <x:f>I101*INDEX('参数'!$G$4:$G$8,MATCH(C101,'参数'!$D$4:$D$8,0))^('参数'!$B$5-1)</x:f>
        <x:v>9.791437269297986e+38</x:v>
      </x:c>
      <x:c r="L101" t="str">
        <x:f>INDEX('参数'!$I$4:$I$8,MATCH(C101,'参数'!$H$4:$H$8,0))</x:f>
        <x:v>Lv.4</x:v>
      </x:c>
      <x:c r="M101" t="n">
        <x:f>INDEX('参数'!$J$4:$J$8,MATCH(C101,'参数'!$H$4:$H$8,0))</x:f>
        <x:v>1</x:v>
      </x:c>
      <x:c r="N101" t="n">
        <x:f>IF(A101=1,"-",IF(AND(E101=1,C101&gt;1),MAX((C101-2)*20+1,A101-1-INDEX('参数'!$J$4:$J$8,MATCH(C101-1,'参数'!$H$4:$H$8,0))),MAX((C101-1)*20+1,A101-1-M101)))</x:f>
        <x:v>98</x:v>
      </x:c>
      <x:c r="O101" t="str">
        <x:f>IF(A101=1,"-",INDEX($B$2:$B$101,MATCH(N101,$A$2:$A$101,0)))</x:f>
        <x:v>彩虹咩羊</x:v>
      </x:c>
      <x:c r="P101" s="16" t="n">
        <x:f>IF(A101=1,0,POWER(2,A101-N101))</x:f>
        <x:v>4</x:v>
      </x:c>
      <x:c r="Q101" s="14" t="n">
        <x:f>IF(A101=1,0,INDEX($I$2:$I$101,MATCH(N101,$A$2:$A$101,0))*(POWER(INDEX('参数'!$G$4:$G$8,MATCH(INDEX($C$2:$C$101,MATCH(N101,$A$2:$A$101,0)),'参数'!$D$4:$D$8,0)),P101)-1)/(INDEX('参数'!$G$4:$G$8,MATCH(INDEX($C$2:$C$101,MATCH(N101,$A$2:$A$101,0)),'参数'!$D$4:$D$8,0))-1))</x:f>
        <x:v>1.732218993164785e+38</x:v>
      </x:c>
      <x:c r="R101" s="14" t="n">
        <x:f>IF(A101=1,0,G100*'参数'!$B$4)</x:f>
        <x:v>5.456228196870804e+33</x:v>
      </x:c>
      <x:c r="S101" s="18" t="n">
        <x:f>IF(A101=1,0,Q101/R101/3600)</x:f>
        <x:v>8.818765</x:v>
      </x:c>
      <x:c r="T101" s="18" t="n">
        <x:f>IF(A101=1,0,SUM($S$2:S101)/24)</x:f>
        <x:v>29.012545710271837</x:v>
      </x:c>
      <x:c r="U101" t="str">
        <x:f>IF(A101=1,"初始羊",IF(AND(E101=1,C101&gt;1),"跨层解锁：需要上一层最终羊×2",IF(P101&gt;=32,"阶段门槛：建议配合广告/随机羊","常规解锁")))</x:f>
        <x:v>常规解锁</x:v>
      </x:c>
    </x:row>
  </x:sheetData>
  <x:conditionalFormatting sqref="S2:S101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T2:T101">
    <x:cfRule type="colorScale" priority="2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6b92968c0f8422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2" t="str">
        <x:v>《电子羊会发疯》v2 数值节奏汇总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3">
      <x:c r="A3" s="7" t="str">
        <x:v>世界层</x:v>
      </x:c>
      <x:c r="B3" s="7" t="str">
        <x:v>世界名称</x:v>
      </x:c>
      <x:c r="C3" s="7" t="str">
        <x:v>羊编号范围</x:v>
      </x:c>
      <x:c r="D3" s="7" t="str">
        <x:v>推荐招聘机Lv</x:v>
      </x:c>
      <x:c r="E3" s="7" t="str">
        <x:v>偏移N</x:v>
      </x:c>
      <x:c r="F3" s="7" t="str">
        <x:v>基础回本时间(秒)</x:v>
      </x:c>
      <x:c r="G3" s="7" t="str">
        <x:v>购买增长倍率</x:v>
      </x:c>
      <x:c r="H3" s="7" t="str">
        <x:v>预计完成累计天数</x:v>
      </x:c>
      <x:c r="I3" s="7" t="str">
        <x:v>本层耗时(天)</x:v>
      </x:c>
    </x:row>
    <x:row r="4">
      <x:c r="A4" t="n">
        <x:v>1</x:v>
      </x:c>
      <x:c r="B4" t="str">
        <x:v>电子牧场</x:v>
      </x:c>
      <x:c r="C4" t="str">
        <x:v>001-020</x:v>
      </x:c>
      <x:c r="D4" t="str">
        <x:v>Lv.0</x:v>
      </x:c>
      <x:c r="E4" t="n">
        <x:v>5</x:v>
      </x:c>
      <x:c r="F4" t="n">
        <x:v>60</x:v>
      </x:c>
      <x:c r="G4" s="18" t="n">
        <x:v>1.06</x:v>
      </x:c>
      <x:c r="H4" s="18" t="n">
        <x:f>INDEX('100只羊数值表'!$T$2:$T$101,MATCH(20,'100只羊数值表'!$A$2:$A$101,0))</x:f>
        <x:v>1.702165505979396</x:v>
      </x:c>
      <x:c r="I4" s="18" t="n">
        <x:f>H4</x:f>
        <x:v>1.702165505979396</x:v>
      </x:c>
    </x:row>
    <x:row r="5">
      <x:c r="A5" t="n">
        <x:v>2</x:v>
      </x:c>
      <x:c r="B5" t="str">
        <x:v>奇怪梦境层</x:v>
      </x:c>
      <x:c r="C5" t="str">
        <x:v>021-040</x:v>
      </x:c>
      <x:c r="D5" t="str">
        <x:v>Lv.1</x:v>
      </x:c>
      <x:c r="E5" t="n">
        <x:v>4</x:v>
      </x:c>
      <x:c r="F5" t="n">
        <x:v>180</x:v>
      </x:c>
      <x:c r="G5" s="18" t="n">
        <x:v>1.11</x:v>
      </x:c>
      <x:c r="H5" s="18" t="n">
        <x:f>INDEX('100只羊数值表'!$T$2:$T$101,MATCH(40,'100只羊数值表'!$A$2:$A$101,0))</x:f>
        <x:v>6.137997642440328</x:v>
      </x:c>
      <x:c r="I5" s="18" t="n">
        <x:f>H5-H4</x:f>
        <x:v>4.435832136460932</x:v>
      </x:c>
    </x:row>
    <x:row r="6">
      <x:c r="A6" t="n">
        <x:v>3</x:v>
      </x:c>
      <x:c r="B6" t="str">
        <x:v>宇宙摸鱼层</x:v>
      </x:c>
      <x:c r="C6" t="str">
        <x:v>041-060</x:v>
      </x:c>
      <x:c r="D6" t="str">
        <x:v>Lv.2</x:v>
      </x:c>
      <x:c r="E6" t="n">
        <x:v>3</x:v>
      </x:c>
      <x:c r="F6" t="n">
        <x:v>360</x:v>
      </x:c>
      <x:c r="G6" s="18" t="n">
        <x:v>1.19</x:v>
      </x:c>
      <x:c r="H6" s="18" t="n">
        <x:f>INDEX('100只羊数值表'!$T$2:$T$101,MATCH(60,'100只羊数值表'!$A$2:$A$101,0))</x:f>
        <x:v>12.908744209307843</x:v>
      </x:c>
      <x:c r="I6" s="18" t="n">
        <x:f>H6-H5</x:f>
        <x:v>6.770746566867515</x:v>
      </x:c>
    </x:row>
    <x:row r="7">
      <x:c r="A7" t="n">
        <x:v>4</x:v>
      </x:c>
      <x:c r="B7" t="str">
        <x:v>神明休息层</x:v>
      </x:c>
      <x:c r="C7" t="str">
        <x:v>061-080</x:v>
      </x:c>
      <x:c r="D7" t="str">
        <x:v>Lv.3</x:v>
      </x:c>
      <x:c r="E7" t="n">
        <x:v>2</x:v>
      </x:c>
      <x:c r="F7" t="n">
        <x:v>720</x:v>
      </x:c>
      <x:c r="G7" s="18" t="n">
        <x:v>1.25</x:v>
      </x:c>
      <x:c r="H7" s="18" t="n">
        <x:f>INDEX('100只羊数值表'!$T$2:$T$101,MATCH(80,'100只羊数值表'!$A$2:$A$101,0))</x:f>
        <x:v>20.861271195641834</x:v>
      </x:c>
      <x:c r="I7" s="18" t="n">
        <x:f>H7-H6</x:f>
        <x:v>7.952526986333991</x:v>
      </x:c>
    </x:row>
    <x:row r="8">
      <x:c r="A8" t="n">
        <x:v>5</x:v>
      </x:c>
      <x:c r="B8" t="str">
        <x:v>终极咩咩宇宙</x:v>
      </x:c>
      <x:c r="C8" t="str">
        <x:v>081-100</x:v>
      </x:c>
      <x:c r="D8" t="str">
        <x:v>Lv.4</x:v>
      </x:c>
      <x:c r="E8" t="n">
        <x:v>1</x:v>
      </x:c>
      <x:c r="F8" t="n">
        <x:v>1200</x:v>
      </x:c>
      <x:c r="G8" s="18" t="n">
        <x:v>1.19</x:v>
      </x:c>
      <x:c r="H8" s="18" t="n">
        <x:f>INDEX('100只羊数值表'!$T$2:$T$101,MATCH(100,'100只羊数值表'!$A$2:$A$101,0))</x:f>
        <x:v>29.012545710271837</x:v>
      </x:c>
      <x:c r="I8" s="18" t="n">
        <x:f>H8-H7</x:f>
        <x:v>8.151274514630003</x:v>
      </x:c>
    </x:row>
    <x:row r="11">
      <x:c r="A11" s="26" t="str">
        <x:v>关键结论</x:v>
      </x:c>
      <x:c r="B11" s="26" t="str">
        <x:v>说明</x:v>
      </x:c>
    </x:row>
    <x:row r="12">
      <x:c r="A12" s="24" t="str">
        <x:v>目标玩家</x:v>
      </x:c>
      <x:c r="B12" s="24" t="str">
        <x:v>看广告玩家，平均每天6-8次广告，约30天到100。</x:v>
      </x:c>
    </x:row>
    <x:row r="13">
      <x:c r="A13" s="24" t="str">
        <x:v>正式价格公式</x:v>
      </x:c>
      <x:c r="B13" s="24" t="str">
        <x:v>第n次购买价 = 基础购买价 × 1.10^(n-1)。</x:v>
      </x:c>
    </x:row>
    <x:row r="14">
      <x:c r="A14" s="24" t="str">
        <x:v>基础购买价</x:v>
      </x:c>
      <x:c r="B14" s="24" t="str">
        <x:v>基础购买价 = 产出/秒 × 所属世界基础回本时间。</x:v>
      </x:c>
    </x:row>
    <x:row r="15">
      <x:c r="A15" s="24" t="str">
        <x:v>招聘规则</x:v>
      </x:c>
      <x:c r="B15" s="24" t="str">
        <x:v>可购买羊 = max(当前世界起始羊, 当前最高图鉴羊 - N)。</x:v>
      </x:c>
    </x:row>
    <x:row r="16">
      <x:c r="A16" s="24" t="str">
        <x:v>N升级路线</x:v>
      </x:c>
      <x:c r="B16" s="24" t="str">
        <x:v>Lv.0:-5 → Lv.1:-4 → Lv.2:-3 → Lv.3:-2 → Lv.4:-1。</x:v>
      </x:c>
    </x:row>
    <x:row r="17">
      <x:c r="A17" s="24" t="str">
        <x:v>预计时间口径</x:v>
      </x:c>
      <x:c r="B17" s="24" t="str">
        <x:v>为“首次解锁该羊”的近似时间，不等于玩家每次实际操作等待时间。</x:v>
      </x:c>
    </x:row>
    <x:row r="18">
      <x:c r="A18" s="24" t="str">
        <x:v>后续调参</x:v>
      </x:c>
      <x:c r="B18" s="24" t="str">
        <x:v>如测试太快，降低参数!B4或提高回本时间；太慢则相反。</x:v>
      </x:c>
    </x:row>
    <x:row r="19">
      <x:c r="A19" s="24" t="str">
        <x:v>非广告玩家</x:v>
      </x:c>
      <x:c r="B19" s="24" t="str">
        <x:v>可将参数!B4调到0.04-0.05，节奏大概接近45-60天。</x:v>
      </x:c>
    </x:row>
    <x:row r="20">
      <x:c r="A20" s="24" t="str">
        <x:v>重度广告玩家</x:v>
      </x:c>
      <x:c r="B20" s="24" t="str">
        <x:v>可将参数!B4调到0.10-0.12，节奏会明显快于30天。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f7849cf3561540d8"/>
  <x:tableParts count="1">
    <x:tablePart xmlns:r="http://schemas.openxmlformats.org/officeDocument/2006/relationships" r:id="R92d5fa6e1fa64704"/>
  </x:tableParts>
</x:worksheet>
</file>